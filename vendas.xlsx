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Claudio\Documents\verdent-projects\new-project\"/>
    </mc:Choice>
  </mc:AlternateContent>
  <xr:revisionPtr revIDLastSave="0" documentId="13_ncr:1_{AA998F53-291B-4DC6-BA60-9DE6F67C9909}" xr6:coauthVersionLast="47" xr6:coauthVersionMax="47" xr10:uidLastSave="{00000000-0000-0000-0000-000000000000}"/>
  <bookViews>
    <workbookView xWindow="-120" yWindow="-120" windowWidth="20730" windowHeight="11760" xr2:uid="{F2DED76B-5FEA-48D5-9DAC-66F60A430568}"/>
  </bookViews>
  <sheets>
    <sheet name="Planilha1" sheetId="1" r:id="rId1"/>
    <sheet name="Planilha2" sheetId="2" r:id="rId2"/>
    <sheet name="Planilha3" sheetId="3" r:id="rId3"/>
    <sheet name="Planilha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9" i="1" l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C18" i="1" a="1"/>
  <c r="C18" i="1" s="1"/>
  <c r="C299" i="1" s="1"/>
  <c r="A18" i="1" a="1"/>
  <c r="A18" i="1" s="1"/>
  <c r="C4" i="1" a="1"/>
  <c r="C4" i="1" s="1"/>
  <c r="G299" i="1" l="1"/>
  <c r="U299" i="1"/>
  <c r="T299" i="1"/>
  <c r="S299" i="1"/>
  <c r="H299" i="1"/>
  <c r="V299" i="1"/>
  <c r="R299" i="1"/>
  <c r="Q299" i="1"/>
  <c r="P299" i="1"/>
  <c r="F299" i="1"/>
  <c r="M299" i="1"/>
  <c r="E299" i="1"/>
  <c r="L299" i="1"/>
  <c r="D299" i="1"/>
  <c r="K299" i="1"/>
  <c r="Y299" i="1"/>
  <c r="J299" i="1"/>
  <c r="X299" i="1"/>
  <c r="I299" i="1"/>
  <c r="W299" i="1"/>
  <c r="O299" i="1"/>
  <c r="N2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<sst xmlns="http://schemas.openxmlformats.org/spreadsheetml/2006/main" count="14" uniqueCount="14">
  <si>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Qtd. vendas por funcionário</t>
  </si>
  <si>
    <t>CLAUDIO</t>
  </si>
  <si>
    <t>CLAUDEMIR</t>
  </si>
  <si>
    <t>ANDREIA</t>
  </si>
  <si>
    <t>SEBASTIAO</t>
  </si>
  <si>
    <t xml:space="preserve">FRANCISCO </t>
  </si>
  <si>
    <t>LUCIMARA</t>
  </si>
  <si>
    <t>JHOICE</t>
  </si>
  <si>
    <t>LUIZ FERNANDO</t>
  </si>
  <si>
    <t>CRISTIANE</t>
  </si>
  <si>
    <t>ANDERSON</t>
  </si>
  <si>
    <t xml:space="preserve">vendas PAULO </t>
  </si>
  <si>
    <t xml:space="preserve">vendas por setores </t>
  </si>
  <si>
    <t xml:space="preserve">TOTAL ENTRADA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</si>
</sst>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mmmm\,\ 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Claudio\Meu%20Drive\claudio%20sistema\S%20JOAO%20DA%20SILVA%20MATRIZ\Relatorios\formulario%20cadastro%20(1).xlsx" TargetMode="External"/><Relationship Id="rId1" Type="http://schemas.openxmlformats.org/officeDocument/2006/relationships/externalLinkPath" Target="/Users/Claudio/Meu%20Drive/claudio%20sistema/S%20JOAO%20DA%20SILVA%20MATRIZ/Relatorios/formulario%20cadastr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BANCO DE DADOS 2"/>
      <sheetName val="FATURAMENTO SAIDA"/>
      <sheetName val="dre"/>
      <sheetName val="banco de dados setor "/>
      <sheetName val="Banco de dados  financeiro"/>
      <sheetName val="BANCO DE DADOS FRANCISCO "/>
      <sheetName val="casavalemais "/>
      <sheetName val="Orçado realizado "/>
      <sheetName val="RECEITA"/>
      <sheetName val="RECEITA 2"/>
      <sheetName val="LIVRO CAIXA"/>
      <sheetName val="CHEQUES "/>
      <sheetName val="EXTRATOS"/>
      <sheetName val="EXTRATOS BANCOS "/>
      <sheetName val="CUST K "/>
      <sheetName val="Planilha2"/>
      <sheetName val="Entrada diaria "/>
      <sheetName val="entrada_saina_notas fiscais "/>
      <sheetName val="base_cartoes"/>
      <sheetName val="mes cartoe s"/>
      <sheetName val="indice_inflação"/>
      <sheetName val="caixa "/>
      <sheetName val="compras s joao"/>
      <sheetName val="entradas planilhas "/>
      <sheetName val="IMPOSTO "/>
      <sheetName val="Linha_do_tempo"/>
      <sheetName val="Planilha4"/>
      <sheetName val="VENDAS SETORES"/>
      <sheetName val="CAIXA DIARIO "/>
      <sheetName val="ENTRADA PLANILHA "/>
    </sheetNames>
    <sheetDataSet>
      <sheetData sheetId="0"/>
      <sheetData sheetId="1">
        <row r="93">
          <cell r="AY93">
            <v>90</v>
          </cell>
          <cell r="AZ93">
            <v>53</v>
          </cell>
          <cell r="BA93">
            <v>57</v>
          </cell>
          <cell r="BB93">
            <v>120</v>
          </cell>
          <cell r="BC93">
            <v>96</v>
          </cell>
          <cell r="BD93">
            <v>104</v>
          </cell>
          <cell r="BE93">
            <v>133</v>
          </cell>
          <cell r="BF93">
            <v>148</v>
          </cell>
          <cell r="BG93">
            <v>250</v>
          </cell>
          <cell r="BH93">
            <v>86</v>
          </cell>
          <cell r="BI93">
            <v>73</v>
          </cell>
          <cell r="BJ93">
            <v>132</v>
          </cell>
          <cell r="BK93">
            <v>109</v>
          </cell>
          <cell r="BL93">
            <v>67</v>
          </cell>
          <cell r="BM93">
            <v>68</v>
          </cell>
        </row>
        <row r="94">
          <cell r="AY94">
            <v>121</v>
          </cell>
          <cell r="AZ94">
            <v>85</v>
          </cell>
          <cell r="BA94">
            <v>112</v>
          </cell>
          <cell r="BB94">
            <v>173</v>
          </cell>
          <cell r="BC94">
            <v>176</v>
          </cell>
          <cell r="BD94">
            <v>166</v>
          </cell>
          <cell r="BE94">
            <v>224</v>
          </cell>
          <cell r="BF94">
            <v>183</v>
          </cell>
          <cell r="BG94">
            <v>258</v>
          </cell>
          <cell r="BH94">
            <v>85</v>
          </cell>
          <cell r="BI94">
            <v>78</v>
          </cell>
          <cell r="BJ94">
            <v>97</v>
          </cell>
          <cell r="BK94">
            <v>108</v>
          </cell>
          <cell r="BL94">
            <v>91</v>
          </cell>
          <cell r="BM94">
            <v>90</v>
          </cell>
        </row>
        <row r="95">
          <cell r="AY95">
            <v>218</v>
          </cell>
          <cell r="AZ95">
            <v>216</v>
          </cell>
          <cell r="BA95">
            <v>246</v>
          </cell>
          <cell r="BB95">
            <v>300</v>
          </cell>
          <cell r="BC95">
            <v>312</v>
          </cell>
          <cell r="BD95">
            <v>251</v>
          </cell>
          <cell r="BE95">
            <v>213</v>
          </cell>
          <cell r="BF95">
            <v>258</v>
          </cell>
          <cell r="BG95">
            <v>529</v>
          </cell>
          <cell r="BH95">
            <v>163</v>
          </cell>
          <cell r="BI95">
            <v>147</v>
          </cell>
          <cell r="BJ95">
            <v>203</v>
          </cell>
          <cell r="BK95">
            <v>277</v>
          </cell>
          <cell r="BL95">
            <v>185</v>
          </cell>
          <cell r="BM95">
            <v>200</v>
          </cell>
        </row>
        <row r="96">
          <cell r="AY96">
            <v>35</v>
          </cell>
          <cell r="AZ96">
            <v>54</v>
          </cell>
          <cell r="BA96">
            <v>58</v>
          </cell>
          <cell r="BB96">
            <v>88</v>
          </cell>
          <cell r="BC96">
            <v>87</v>
          </cell>
          <cell r="BD96">
            <v>126</v>
          </cell>
          <cell r="BE96">
            <v>80</v>
          </cell>
          <cell r="BF96">
            <v>29</v>
          </cell>
          <cell r="BG96">
            <v>11</v>
          </cell>
          <cell r="BH96">
            <v>1</v>
          </cell>
          <cell r="BI96">
            <v>1</v>
          </cell>
          <cell r="BJ96">
            <v>1</v>
          </cell>
          <cell r="BK96">
            <v>5</v>
          </cell>
          <cell r="BL96">
            <v>6</v>
          </cell>
          <cell r="BM96">
            <v>3</v>
          </cell>
        </row>
        <row r="97">
          <cell r="AY97">
            <v>58</v>
          </cell>
          <cell r="AZ97">
            <v>73</v>
          </cell>
          <cell r="BA97">
            <v>43</v>
          </cell>
          <cell r="BB97">
            <v>84</v>
          </cell>
          <cell r="BC97">
            <v>60</v>
          </cell>
          <cell r="BD97">
            <v>75</v>
          </cell>
          <cell r="BE97">
            <v>88</v>
          </cell>
          <cell r="BF97">
            <v>66</v>
          </cell>
          <cell r="BG97">
            <v>134</v>
          </cell>
          <cell r="BH97">
            <v>46</v>
          </cell>
          <cell r="BI97">
            <v>50</v>
          </cell>
          <cell r="BJ97">
            <v>48</v>
          </cell>
          <cell r="BK97">
            <v>40</v>
          </cell>
          <cell r="BL97">
            <v>36</v>
          </cell>
          <cell r="BM97">
            <v>42</v>
          </cell>
        </row>
        <row r="98">
          <cell r="AY98">
            <v>78</v>
          </cell>
          <cell r="AZ98">
            <v>85</v>
          </cell>
          <cell r="BA98">
            <v>67</v>
          </cell>
          <cell r="BB98">
            <v>101</v>
          </cell>
          <cell r="BC98">
            <v>130</v>
          </cell>
          <cell r="BD98">
            <v>92</v>
          </cell>
          <cell r="BE98">
            <v>104</v>
          </cell>
          <cell r="BF98">
            <v>117</v>
          </cell>
          <cell r="BG98">
            <v>234</v>
          </cell>
          <cell r="BH98">
            <v>73</v>
          </cell>
          <cell r="BI98">
            <v>59</v>
          </cell>
          <cell r="BJ98">
            <v>103</v>
          </cell>
          <cell r="BK98">
            <v>78</v>
          </cell>
          <cell r="BL98">
            <v>70</v>
          </cell>
          <cell r="BM98">
            <v>81</v>
          </cell>
        </row>
        <row r="99">
          <cell r="AY99">
            <v>432</v>
          </cell>
          <cell r="AZ99">
            <v>397</v>
          </cell>
          <cell r="BA99">
            <v>474</v>
          </cell>
          <cell r="BB99">
            <v>280</v>
          </cell>
          <cell r="BC99">
            <v>528</v>
          </cell>
          <cell r="BD99">
            <v>518</v>
          </cell>
          <cell r="BE99">
            <v>490</v>
          </cell>
          <cell r="BF99">
            <v>577</v>
          </cell>
          <cell r="BG99">
            <v>671</v>
          </cell>
          <cell r="BH99">
            <v>493</v>
          </cell>
          <cell r="BI99">
            <v>485</v>
          </cell>
          <cell r="BJ99">
            <v>1</v>
          </cell>
          <cell r="BK99">
            <v>1</v>
          </cell>
          <cell r="BL99">
            <v>1</v>
          </cell>
          <cell r="BM99">
            <v>1</v>
          </cell>
        </row>
        <row r="100">
          <cell r="AY100">
            <v>740</v>
          </cell>
          <cell r="AZ100">
            <v>730</v>
          </cell>
          <cell r="BA100">
            <v>792</v>
          </cell>
          <cell r="BB100">
            <v>847</v>
          </cell>
          <cell r="BC100">
            <v>909</v>
          </cell>
          <cell r="BD100">
            <v>894</v>
          </cell>
          <cell r="BE100">
            <v>1003</v>
          </cell>
          <cell r="BF100">
            <v>889</v>
          </cell>
          <cell r="BG100">
            <v>2</v>
          </cell>
          <cell r="BH100">
            <v>815</v>
          </cell>
          <cell r="BI100">
            <v>811</v>
          </cell>
          <cell r="BJ100">
            <v>831</v>
          </cell>
          <cell r="BK100">
            <v>892</v>
          </cell>
          <cell r="BL100">
            <v>751</v>
          </cell>
          <cell r="BM100">
            <v>849</v>
          </cell>
        </row>
        <row r="101">
          <cell r="AY101">
            <v>466</v>
          </cell>
          <cell r="AZ101">
            <v>400</v>
          </cell>
          <cell r="BA101">
            <v>486</v>
          </cell>
          <cell r="BB101">
            <v>579</v>
          </cell>
          <cell r="BC101">
            <v>637</v>
          </cell>
          <cell r="BD101">
            <v>635</v>
          </cell>
          <cell r="BE101">
            <v>798</v>
          </cell>
          <cell r="BF101">
            <v>668</v>
          </cell>
          <cell r="BG101">
            <v>825</v>
          </cell>
          <cell r="BH101">
            <v>663</v>
          </cell>
          <cell r="BI101">
            <v>558</v>
          </cell>
          <cell r="BJ101">
            <v>686</v>
          </cell>
          <cell r="BK101">
            <v>425</v>
          </cell>
          <cell r="BL101">
            <v>561</v>
          </cell>
          <cell r="BM101">
            <v>678</v>
          </cell>
        </row>
        <row r="102">
          <cell r="AY102">
            <v>577</v>
          </cell>
          <cell r="AZ102">
            <v>598</v>
          </cell>
          <cell r="BA102">
            <v>599</v>
          </cell>
          <cell r="BB102">
            <v>82</v>
          </cell>
          <cell r="BC102">
            <v>23</v>
          </cell>
          <cell r="BD102">
            <v>19</v>
          </cell>
          <cell r="BE102">
            <v>5</v>
          </cell>
          <cell r="BF102">
            <v>21</v>
          </cell>
          <cell r="BG102">
            <v>136</v>
          </cell>
          <cell r="BH102">
            <v>581</v>
          </cell>
          <cell r="BI102">
            <v>599</v>
          </cell>
          <cell r="BJ102">
            <v>761</v>
          </cell>
          <cell r="BK102">
            <v>775</v>
          </cell>
          <cell r="BL102">
            <v>588</v>
          </cell>
          <cell r="BM102">
            <v>236</v>
          </cell>
        </row>
        <row r="103">
          <cell r="BA103">
            <v>1</v>
          </cell>
          <cell r="BC103">
            <v>1</v>
          </cell>
          <cell r="BK103">
            <v>1</v>
          </cell>
          <cell r="BM103">
            <v>2</v>
          </cell>
        </row>
        <row r="116">
          <cell r="A116" t="str">
            <v>CLAUDIO</v>
          </cell>
          <cell r="B116" t="str">
            <v>ACABAMENTO  **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</row>
        <row r="117">
          <cell r="A117" t="str">
            <v>CLAUDIO</v>
          </cell>
          <cell r="B117" t="str">
            <v>COBERTURA</v>
          </cell>
          <cell r="AY117">
            <v>1881.76</v>
          </cell>
          <cell r="AZ117">
            <v>486.4</v>
          </cell>
          <cell r="BA117">
            <v>344.1</v>
          </cell>
          <cell r="BB117">
            <v>2339.62</v>
          </cell>
          <cell r="BC117">
            <v>1179.3800000000001</v>
          </cell>
          <cell r="BD117">
            <v>137.55000000000001</v>
          </cell>
          <cell r="BE117">
            <v>2576.84</v>
          </cell>
          <cell r="BF117">
            <v>3977.33</v>
          </cell>
          <cell r="BG117">
            <v>1478.24</v>
          </cell>
          <cell r="BH117">
            <v>41.7</v>
          </cell>
          <cell r="BI117">
            <v>2355</v>
          </cell>
          <cell r="BJ117">
            <v>2937.42</v>
          </cell>
          <cell r="BK117">
            <v>0</v>
          </cell>
          <cell r="BL117">
            <v>1058</v>
          </cell>
          <cell r="BM117">
            <v>0</v>
          </cell>
        </row>
        <row r="118">
          <cell r="A118" t="str">
            <v>CLAUDIO</v>
          </cell>
          <cell r="B118" t="str">
            <v>ELETRICA     **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</row>
        <row r="119">
          <cell r="A119" t="str">
            <v>CLAUDIO</v>
          </cell>
          <cell r="B119" t="str">
            <v>ELETRODOMESTICOS   **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</row>
        <row r="120">
          <cell r="A120" t="str">
            <v>CLAUDIO</v>
          </cell>
          <cell r="B120" t="str">
            <v>ESQUADRIAS</v>
          </cell>
          <cell r="AY120">
            <v>1603.4</v>
          </cell>
          <cell r="AZ120">
            <v>0</v>
          </cell>
          <cell r="BA120">
            <v>139.9</v>
          </cell>
          <cell r="BB120">
            <v>1020.9</v>
          </cell>
          <cell r="BC120">
            <v>1136.3</v>
          </cell>
          <cell r="BD120">
            <v>550.79999999999995</v>
          </cell>
          <cell r="BE120">
            <v>818.7</v>
          </cell>
          <cell r="BF120">
            <v>399.8</v>
          </cell>
          <cell r="BG120">
            <v>85</v>
          </cell>
          <cell r="BH120">
            <v>2438.4</v>
          </cell>
          <cell r="BI120">
            <v>1144.3</v>
          </cell>
          <cell r="BJ120">
            <v>2910.31</v>
          </cell>
          <cell r="BK120">
            <v>0</v>
          </cell>
          <cell r="BL120">
            <v>1009.2</v>
          </cell>
          <cell r="BM120">
            <v>753.02</v>
          </cell>
        </row>
        <row r="121">
          <cell r="A121" t="str">
            <v>CLAUDIO</v>
          </cell>
          <cell r="B121" t="str">
            <v>FERRAGENS</v>
          </cell>
          <cell r="AY121">
            <v>399.08</v>
          </cell>
          <cell r="AZ121">
            <v>207.94</v>
          </cell>
          <cell r="BA121">
            <v>406.65</v>
          </cell>
          <cell r="BB121">
            <v>878.39</v>
          </cell>
          <cell r="BC121">
            <v>391.86</v>
          </cell>
          <cell r="BD121">
            <v>824.9</v>
          </cell>
          <cell r="BE121">
            <v>552.95000000000005</v>
          </cell>
          <cell r="BF121">
            <v>757.12</v>
          </cell>
          <cell r="BG121">
            <v>1706.39</v>
          </cell>
          <cell r="BH121">
            <v>531.65</v>
          </cell>
          <cell r="BI121">
            <v>242.29</v>
          </cell>
          <cell r="BJ121">
            <v>778.03</v>
          </cell>
          <cell r="BK121">
            <v>523.79</v>
          </cell>
          <cell r="BL121">
            <v>441.75</v>
          </cell>
          <cell r="BM121">
            <v>223.85</v>
          </cell>
        </row>
        <row r="122">
          <cell r="A122" t="str">
            <v>CLAUDIO</v>
          </cell>
          <cell r="B122" t="str">
            <v>FERRAMENTAS</v>
          </cell>
          <cell r="AY122">
            <v>467.87</v>
          </cell>
          <cell r="AZ122">
            <v>248.49</v>
          </cell>
          <cell r="BA122">
            <v>1006.2</v>
          </cell>
          <cell r="BB122">
            <v>1062.68</v>
          </cell>
          <cell r="BC122">
            <v>1162.75</v>
          </cell>
          <cell r="BD122">
            <v>825.17</v>
          </cell>
          <cell r="BE122">
            <v>629.36</v>
          </cell>
          <cell r="BF122">
            <v>1338.48</v>
          </cell>
          <cell r="BG122">
            <v>2731.36</v>
          </cell>
          <cell r="BH122">
            <v>724.5</v>
          </cell>
          <cell r="BI122">
            <v>483.76</v>
          </cell>
          <cell r="BJ122">
            <v>1551.72</v>
          </cell>
          <cell r="BK122">
            <v>599.47</v>
          </cell>
          <cell r="BL122">
            <v>545.91</v>
          </cell>
          <cell r="BM122">
            <v>743.12</v>
          </cell>
        </row>
        <row r="123">
          <cell r="A123" t="str">
            <v>CLAUDIO</v>
          </cell>
          <cell r="B123" t="str">
            <v>HIDRAULICAS</v>
          </cell>
          <cell r="AY123">
            <v>2452.19</v>
          </cell>
          <cell r="AZ123">
            <v>4840.8500000000004</v>
          </cell>
          <cell r="BA123">
            <v>19.600000000000001</v>
          </cell>
          <cell r="BB123">
            <v>1020.78</v>
          </cell>
          <cell r="BC123">
            <v>3355.29</v>
          </cell>
          <cell r="BD123">
            <v>2682.2</v>
          </cell>
          <cell r="BE123">
            <v>8062.75</v>
          </cell>
          <cell r="BF123">
            <v>982.62</v>
          </cell>
          <cell r="BG123">
            <v>8335.9</v>
          </cell>
          <cell r="BH123">
            <v>1499.56</v>
          </cell>
          <cell r="BI123">
            <v>543.44000000000005</v>
          </cell>
          <cell r="BJ123">
            <v>2584.63</v>
          </cell>
          <cell r="BK123">
            <v>963.68</v>
          </cell>
          <cell r="BL123">
            <v>573.30999999999995</v>
          </cell>
          <cell r="BM123">
            <v>445.85</v>
          </cell>
        </row>
        <row r="124">
          <cell r="A124" t="str">
            <v>CLAUDIO</v>
          </cell>
          <cell r="B124" t="str">
            <v>ILUMINAÇÃO</v>
          </cell>
          <cell r="AY124">
            <v>25</v>
          </cell>
          <cell r="AZ124">
            <v>0</v>
          </cell>
          <cell r="BA124">
            <v>378.79</v>
          </cell>
          <cell r="BB124">
            <v>148.1</v>
          </cell>
          <cell r="BC124">
            <v>103.99</v>
          </cell>
          <cell r="BD124">
            <v>11.9</v>
          </cell>
          <cell r="BE124">
            <v>149.29</v>
          </cell>
          <cell r="BF124">
            <v>240.9</v>
          </cell>
          <cell r="BG124">
            <v>258.89999999999998</v>
          </cell>
          <cell r="BH124">
            <v>117.84</v>
          </cell>
          <cell r="BI124">
            <v>119.1</v>
          </cell>
          <cell r="BJ124">
            <v>80.7</v>
          </cell>
          <cell r="BK124">
            <v>51.99</v>
          </cell>
          <cell r="BL124">
            <v>39.4</v>
          </cell>
          <cell r="BM124">
            <v>76.3</v>
          </cell>
        </row>
        <row r="125">
          <cell r="A125" t="str">
            <v>CLAUDIO</v>
          </cell>
          <cell r="B125" t="str">
            <v>JARDINAGEM   *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</row>
        <row r="126">
          <cell r="A126" t="str">
            <v>CLAUDIO</v>
          </cell>
          <cell r="B126" t="str">
            <v>LAZER</v>
          </cell>
          <cell r="AY126">
            <v>243.45</v>
          </cell>
          <cell r="AZ126">
            <v>979.7</v>
          </cell>
          <cell r="BA126">
            <v>155.6</v>
          </cell>
          <cell r="BB126">
            <v>89.75</v>
          </cell>
          <cell r="BC126">
            <v>77.95</v>
          </cell>
          <cell r="BD126">
            <v>21.9</v>
          </cell>
          <cell r="BE126">
            <v>138.34</v>
          </cell>
          <cell r="BF126">
            <v>429.37</v>
          </cell>
          <cell r="BG126">
            <v>245.84</v>
          </cell>
          <cell r="BH126">
            <v>405.06</v>
          </cell>
          <cell r="BI126">
            <v>37.799999999999997</v>
          </cell>
          <cell r="BJ126">
            <v>1397.84</v>
          </cell>
          <cell r="BK126">
            <v>213.94</v>
          </cell>
          <cell r="BL126">
            <v>95.9</v>
          </cell>
          <cell r="BM126">
            <v>1000.25</v>
          </cell>
        </row>
        <row r="127">
          <cell r="A127" t="str">
            <v>CLAUDIO</v>
          </cell>
          <cell r="B127" t="str">
            <v>LOUÇAS</v>
          </cell>
          <cell r="AY127">
            <v>0</v>
          </cell>
          <cell r="AZ127">
            <v>0</v>
          </cell>
          <cell r="BA127">
            <v>499.9</v>
          </cell>
          <cell r="BB127">
            <v>0</v>
          </cell>
          <cell r="BC127">
            <v>265.8</v>
          </cell>
          <cell r="BD127">
            <v>100</v>
          </cell>
          <cell r="BE127">
            <v>0</v>
          </cell>
          <cell r="BF127">
            <v>0</v>
          </cell>
          <cell r="BG127">
            <v>258.89999999999998</v>
          </cell>
          <cell r="BH127">
            <v>10390</v>
          </cell>
          <cell r="BI127">
            <v>0</v>
          </cell>
          <cell r="BJ127">
            <v>0</v>
          </cell>
          <cell r="BK127">
            <v>155.9</v>
          </cell>
          <cell r="BL127">
            <v>404.9</v>
          </cell>
          <cell r="BM127">
            <v>861.25</v>
          </cell>
        </row>
        <row r="128">
          <cell r="A128" t="str">
            <v>CLAUDIO</v>
          </cell>
          <cell r="B128" t="str">
            <v>MATERIAIS BÁSICOS</v>
          </cell>
          <cell r="AY128">
            <v>29773.06</v>
          </cell>
          <cell r="AZ128">
            <v>16444.8</v>
          </cell>
          <cell r="BA128">
            <v>4175.0200000000004</v>
          </cell>
          <cell r="BB128">
            <v>8201.9</v>
          </cell>
          <cell r="BC128">
            <v>14164.3</v>
          </cell>
          <cell r="BD128">
            <v>9761.5499999999993</v>
          </cell>
          <cell r="BE128">
            <v>5236.51</v>
          </cell>
          <cell r="BF128">
            <v>7913.12</v>
          </cell>
          <cell r="BG128">
            <v>13640.17</v>
          </cell>
          <cell r="BH128">
            <v>17600.080000000002</v>
          </cell>
          <cell r="BI128">
            <v>2402.8000000000002</v>
          </cell>
          <cell r="BJ128">
            <v>860.75</v>
          </cell>
          <cell r="BK128">
            <v>1664.01</v>
          </cell>
          <cell r="BL128">
            <v>4848</v>
          </cell>
          <cell r="BM128">
            <v>378.3</v>
          </cell>
        </row>
        <row r="129">
          <cell r="A129" t="str">
            <v>CLAUDIO</v>
          </cell>
          <cell r="B129" t="str">
            <v>MATERIAIS ELETRICOS</v>
          </cell>
          <cell r="AY129">
            <v>56.16</v>
          </cell>
          <cell r="AZ129">
            <v>38.799999999999997</v>
          </cell>
          <cell r="BA129">
            <v>640.85</v>
          </cell>
          <cell r="BB129">
            <v>459.78</v>
          </cell>
          <cell r="BC129">
            <v>807.95</v>
          </cell>
          <cell r="BD129">
            <v>1606.43</v>
          </cell>
          <cell r="BE129">
            <v>625.97</v>
          </cell>
          <cell r="BF129">
            <v>7499.86</v>
          </cell>
          <cell r="BG129">
            <v>1695.9</v>
          </cell>
          <cell r="BH129">
            <v>228.4</v>
          </cell>
          <cell r="BI129">
            <v>345.05</v>
          </cell>
          <cell r="BJ129">
            <v>3840.98</v>
          </cell>
          <cell r="BK129">
            <v>1644.31</v>
          </cell>
          <cell r="BL129">
            <v>2100.16</v>
          </cell>
          <cell r="BM129">
            <v>1455.22</v>
          </cell>
        </row>
        <row r="130">
          <cell r="A130" t="str">
            <v>CLAUDIO</v>
          </cell>
          <cell r="B130" t="str">
            <v>METAIS</v>
          </cell>
          <cell r="AY130">
            <v>77.77</v>
          </cell>
          <cell r="AZ130">
            <v>41</v>
          </cell>
          <cell r="BA130">
            <v>159.6</v>
          </cell>
          <cell r="BB130">
            <v>345.55</v>
          </cell>
          <cell r="BC130">
            <v>172.8</v>
          </cell>
          <cell r="BD130">
            <v>390.45</v>
          </cell>
          <cell r="BE130">
            <v>166.2</v>
          </cell>
          <cell r="BF130">
            <v>328.5</v>
          </cell>
          <cell r="BG130">
            <v>437.51</v>
          </cell>
          <cell r="BH130">
            <v>942.9</v>
          </cell>
          <cell r="BI130">
            <v>341.21</v>
          </cell>
          <cell r="BJ130">
            <v>213.35</v>
          </cell>
          <cell r="BK130">
            <v>251.68</v>
          </cell>
          <cell r="BL130">
            <v>530.04</v>
          </cell>
          <cell r="BM130">
            <v>903.91</v>
          </cell>
        </row>
        <row r="131">
          <cell r="A131" t="str">
            <v>CLAUDIO</v>
          </cell>
          <cell r="B131" t="str">
            <v>MOVEIS</v>
          </cell>
          <cell r="AY131">
            <v>43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852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569.79999999999995</v>
          </cell>
          <cell r="BM131">
            <v>1051.9100000000001</v>
          </cell>
        </row>
        <row r="132">
          <cell r="A132" t="str">
            <v>CLAUDIO</v>
          </cell>
          <cell r="B132" t="str">
            <v>PINTURA</v>
          </cell>
          <cell r="AY132">
            <v>898.3</v>
          </cell>
          <cell r="AZ132">
            <v>549.05999999999995</v>
          </cell>
          <cell r="BA132">
            <v>658.92</v>
          </cell>
          <cell r="BB132">
            <v>826.9</v>
          </cell>
          <cell r="BC132">
            <v>190.27</v>
          </cell>
          <cell r="BD132">
            <v>837.15</v>
          </cell>
          <cell r="BE132">
            <v>965.58</v>
          </cell>
          <cell r="BF132">
            <v>994.47</v>
          </cell>
          <cell r="BG132">
            <v>3088.14</v>
          </cell>
          <cell r="BH132">
            <v>140.02000000000001</v>
          </cell>
          <cell r="BI132">
            <v>472.85</v>
          </cell>
          <cell r="BJ132">
            <v>810.21</v>
          </cell>
          <cell r="BK132">
            <v>508.18</v>
          </cell>
          <cell r="BL132">
            <v>86.7</v>
          </cell>
          <cell r="BM132">
            <v>299.55</v>
          </cell>
        </row>
        <row r="133">
          <cell r="A133" t="str">
            <v>CLAUDIO</v>
          </cell>
          <cell r="B133" t="str">
            <v>PISOS E REVESTIMENTOS</v>
          </cell>
          <cell r="AY133">
            <v>583.27</v>
          </cell>
          <cell r="AZ133">
            <v>33.799999999999997</v>
          </cell>
          <cell r="BA133">
            <v>25.2</v>
          </cell>
          <cell r="BB133">
            <v>11810.83</v>
          </cell>
          <cell r="BC133">
            <v>3968.08</v>
          </cell>
          <cell r="BD133">
            <v>1014.64</v>
          </cell>
          <cell r="BE133">
            <v>349.8</v>
          </cell>
          <cell r="BF133">
            <v>1183.92</v>
          </cell>
          <cell r="BG133">
            <v>6696.62</v>
          </cell>
          <cell r="BH133">
            <v>419.03</v>
          </cell>
          <cell r="BI133">
            <v>1440.49</v>
          </cell>
          <cell r="BJ133">
            <v>4377.0600000000004</v>
          </cell>
          <cell r="BK133">
            <v>548.19000000000005</v>
          </cell>
          <cell r="BL133">
            <v>758.05</v>
          </cell>
          <cell r="BM133">
            <v>371</v>
          </cell>
        </row>
        <row r="134">
          <cell r="A134" t="str">
            <v>CLAUDIO</v>
          </cell>
          <cell r="B134" t="str">
            <v>PRATELEIRA  *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</row>
        <row r="135">
          <cell r="A135" t="str">
            <v>CLAUDIO</v>
          </cell>
          <cell r="B135" t="str">
            <v>ULTILIDADES DOMESTICAS  *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</row>
        <row r="136">
          <cell r="A136" t="str">
            <v>CLAUDIO</v>
          </cell>
          <cell r="B136" t="str">
            <v>zFERRAMENTAS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</row>
        <row r="137">
          <cell r="A137" t="str">
            <v>CLAUDIO</v>
          </cell>
          <cell r="B137" t="str">
            <v>zMATERIAIS BASICOS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</row>
        <row r="138">
          <cell r="A138" t="str">
            <v>CLAUDIO</v>
          </cell>
          <cell r="B138" t="str">
            <v>zPARAFUSOS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</row>
        <row r="141">
          <cell r="A141" t="str">
            <v>CLAUDEMIR</v>
          </cell>
          <cell r="B141" t="str">
            <v>ACABAMENTO  **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</row>
        <row r="142">
          <cell r="A142" t="str">
            <v>CLAUDEMIR</v>
          </cell>
          <cell r="B142" t="str">
            <v>COBERTURA</v>
          </cell>
          <cell r="AY142">
            <v>0</v>
          </cell>
          <cell r="AZ142">
            <v>-65.900000000000006</v>
          </cell>
          <cell r="BA142">
            <v>86.9</v>
          </cell>
          <cell r="BB142">
            <v>4612.79</v>
          </cell>
          <cell r="BC142">
            <v>2002</v>
          </cell>
          <cell r="BD142">
            <v>1227.7</v>
          </cell>
          <cell r="BE142">
            <v>498.75</v>
          </cell>
          <cell r="BF142">
            <v>1318.31</v>
          </cell>
          <cell r="BG142">
            <v>2606.31</v>
          </cell>
          <cell r="BH142">
            <v>43.81</v>
          </cell>
          <cell r="BI142">
            <v>166.38</v>
          </cell>
          <cell r="BJ142">
            <v>1933.3</v>
          </cell>
          <cell r="BK142">
            <v>24.9</v>
          </cell>
          <cell r="BL142">
            <v>292.04000000000002</v>
          </cell>
          <cell r="BM142">
            <v>3127.4</v>
          </cell>
        </row>
        <row r="143">
          <cell r="A143" t="str">
            <v>CLAUDEMIR</v>
          </cell>
          <cell r="B143" t="str">
            <v>ELETRICA     **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</row>
        <row r="144">
          <cell r="A144" t="str">
            <v>CLAUDEMIR</v>
          </cell>
          <cell r="B144" t="str">
            <v>ELETRODOMESTICOS   **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</row>
        <row r="145">
          <cell r="A145" t="str">
            <v>CLAUDEMIR</v>
          </cell>
          <cell r="B145" t="str">
            <v>ESQUADRIAS</v>
          </cell>
          <cell r="AY145">
            <v>722.25</v>
          </cell>
          <cell r="AZ145">
            <v>0</v>
          </cell>
          <cell r="BA145">
            <v>110.67</v>
          </cell>
          <cell r="BB145">
            <v>182.09</v>
          </cell>
          <cell r="BC145">
            <v>1046.8</v>
          </cell>
          <cell r="BD145">
            <v>358.9</v>
          </cell>
          <cell r="BE145">
            <v>730</v>
          </cell>
          <cell r="BF145">
            <v>495.65</v>
          </cell>
          <cell r="BG145">
            <v>808.86</v>
          </cell>
          <cell r="BH145">
            <v>570.16999999999996</v>
          </cell>
          <cell r="BI145">
            <v>711.5</v>
          </cell>
          <cell r="BJ145">
            <v>-229.3</v>
          </cell>
          <cell r="BK145">
            <v>0</v>
          </cell>
          <cell r="BL145">
            <v>962.3</v>
          </cell>
          <cell r="BM145">
            <v>419.6</v>
          </cell>
        </row>
        <row r="146">
          <cell r="A146" t="str">
            <v>CLAUDEMIR</v>
          </cell>
          <cell r="B146" t="str">
            <v>FERRAGENS</v>
          </cell>
          <cell r="AY146">
            <v>209.12</v>
          </cell>
          <cell r="AZ146">
            <v>976.95</v>
          </cell>
          <cell r="BA146">
            <v>850.93</v>
          </cell>
          <cell r="BB146">
            <v>1117.1500000000001</v>
          </cell>
          <cell r="BC146">
            <v>1370.51</v>
          </cell>
          <cell r="BD146">
            <v>528.84</v>
          </cell>
          <cell r="BE146">
            <v>1246.1500000000001</v>
          </cell>
          <cell r="BF146">
            <v>928.67</v>
          </cell>
          <cell r="BG146">
            <v>1622.01</v>
          </cell>
          <cell r="BH146">
            <v>322.83</v>
          </cell>
          <cell r="BI146">
            <v>314.75</v>
          </cell>
          <cell r="BJ146">
            <v>222.94</v>
          </cell>
          <cell r="BK146">
            <v>423.9</v>
          </cell>
          <cell r="BL146">
            <v>619.61</v>
          </cell>
          <cell r="BM146">
            <v>960.64</v>
          </cell>
        </row>
        <row r="147">
          <cell r="A147" t="str">
            <v>CLAUDEMIR</v>
          </cell>
          <cell r="B147" t="str">
            <v>FERRAMENTAS</v>
          </cell>
          <cell r="AY147">
            <v>418.74</v>
          </cell>
          <cell r="AZ147">
            <v>831.68</v>
          </cell>
          <cell r="BA147">
            <v>1377.01</v>
          </cell>
          <cell r="BB147">
            <v>1780.54</v>
          </cell>
          <cell r="BC147">
            <v>1433.75</v>
          </cell>
          <cell r="BD147">
            <v>2493.92</v>
          </cell>
          <cell r="BE147">
            <v>2768.02</v>
          </cell>
          <cell r="BF147">
            <v>2509.02</v>
          </cell>
          <cell r="BG147">
            <v>4050.64</v>
          </cell>
          <cell r="BH147">
            <v>791.24</v>
          </cell>
          <cell r="BI147">
            <v>633.63</v>
          </cell>
          <cell r="BJ147">
            <v>1518.69</v>
          </cell>
          <cell r="BK147">
            <v>6771.6</v>
          </cell>
          <cell r="BL147">
            <v>991.28</v>
          </cell>
          <cell r="BM147">
            <v>824.11</v>
          </cell>
        </row>
        <row r="148">
          <cell r="A148" t="str">
            <v>CLAUDEMIR</v>
          </cell>
          <cell r="B148" t="str">
            <v>HIDRAULICAS</v>
          </cell>
          <cell r="AY148">
            <v>6.99</v>
          </cell>
          <cell r="AZ148">
            <v>1364.4</v>
          </cell>
          <cell r="BA148">
            <v>1059.6500000000001</v>
          </cell>
          <cell r="BB148">
            <v>2716.92</v>
          </cell>
          <cell r="BC148">
            <v>1300.4000000000001</v>
          </cell>
          <cell r="BD148">
            <v>2370.38</v>
          </cell>
          <cell r="BE148">
            <v>2788.29</v>
          </cell>
          <cell r="BF148">
            <v>1157.9000000000001</v>
          </cell>
          <cell r="BG148">
            <v>6834.91</v>
          </cell>
          <cell r="BH148">
            <v>610.48</v>
          </cell>
          <cell r="BI148">
            <v>579.47</v>
          </cell>
          <cell r="BJ148">
            <v>1016.43</v>
          </cell>
          <cell r="BK148">
            <v>1756.31</v>
          </cell>
          <cell r="BL148">
            <v>491.91</v>
          </cell>
          <cell r="BM148">
            <v>1548.72</v>
          </cell>
        </row>
        <row r="149">
          <cell r="A149" t="str">
            <v>CLAUDEMIR</v>
          </cell>
          <cell r="B149" t="str">
            <v>ILUMINAÇÃO</v>
          </cell>
          <cell r="AY149">
            <v>19.899999999999999</v>
          </cell>
          <cell r="AZ149">
            <v>124.7</v>
          </cell>
          <cell r="BA149">
            <v>95.8</v>
          </cell>
          <cell r="BB149">
            <v>133.94999999999999</v>
          </cell>
          <cell r="BC149">
            <v>443.46</v>
          </cell>
          <cell r="BD149">
            <v>162.55000000000001</v>
          </cell>
          <cell r="BE149">
            <v>215.38</v>
          </cell>
          <cell r="BF149">
            <v>244.7</v>
          </cell>
          <cell r="BG149">
            <v>282.2</v>
          </cell>
          <cell r="BH149">
            <v>18.36</v>
          </cell>
          <cell r="BI149">
            <v>204.55</v>
          </cell>
          <cell r="BJ149">
            <v>159.46</v>
          </cell>
          <cell r="BK149">
            <v>392.52</v>
          </cell>
          <cell r="BL149">
            <v>65.3</v>
          </cell>
          <cell r="BM149">
            <v>0</v>
          </cell>
        </row>
        <row r="150">
          <cell r="A150" t="str">
            <v>CLAUDEMIR</v>
          </cell>
          <cell r="B150" t="str">
            <v>JARDINAGEM   *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</row>
        <row r="151">
          <cell r="A151" t="str">
            <v>CLAUDEMIR</v>
          </cell>
          <cell r="B151" t="str">
            <v>LAZER</v>
          </cell>
          <cell r="AY151">
            <v>0</v>
          </cell>
          <cell r="AZ151">
            <v>782.18</v>
          </cell>
          <cell r="BA151">
            <v>254.85</v>
          </cell>
          <cell r="BB151">
            <v>-143.80000000000001</v>
          </cell>
          <cell r="BC151">
            <v>48.3</v>
          </cell>
          <cell r="BD151">
            <v>85.91</v>
          </cell>
          <cell r="BE151">
            <v>530.04</v>
          </cell>
          <cell r="BF151">
            <v>124.05</v>
          </cell>
          <cell r="BG151">
            <v>899.6</v>
          </cell>
          <cell r="BH151">
            <v>453.7</v>
          </cell>
          <cell r="BI151">
            <v>184.1</v>
          </cell>
          <cell r="BJ151">
            <v>657.15</v>
          </cell>
          <cell r="BK151">
            <v>475.55</v>
          </cell>
          <cell r="BL151">
            <v>74.64</v>
          </cell>
          <cell r="BM151">
            <v>112.15</v>
          </cell>
        </row>
        <row r="152">
          <cell r="A152" t="str">
            <v>CLAUDEMIR</v>
          </cell>
          <cell r="B152" t="str">
            <v>LOUÇAS</v>
          </cell>
          <cell r="AY152">
            <v>0</v>
          </cell>
          <cell r="AZ152">
            <v>199.9</v>
          </cell>
          <cell r="BA152">
            <v>0</v>
          </cell>
          <cell r="BB152">
            <v>118.9</v>
          </cell>
          <cell r="BC152">
            <v>269.39</v>
          </cell>
          <cell r="BD152">
            <v>0</v>
          </cell>
          <cell r="BE152">
            <v>0</v>
          </cell>
          <cell r="BF152">
            <v>144.16</v>
          </cell>
          <cell r="BG152">
            <v>277.82</v>
          </cell>
          <cell r="BH152">
            <v>499.9</v>
          </cell>
          <cell r="BI152">
            <v>289.7</v>
          </cell>
          <cell r="BJ152">
            <v>0</v>
          </cell>
          <cell r="BK152">
            <v>0</v>
          </cell>
          <cell r="BL152">
            <v>0</v>
          </cell>
          <cell r="BM152">
            <v>-219.9</v>
          </cell>
        </row>
        <row r="153">
          <cell r="A153" t="str">
            <v>CLAUDEMIR</v>
          </cell>
          <cell r="B153" t="str">
            <v>MATERIAIS BÁSICOS</v>
          </cell>
          <cell r="AY153">
            <v>640.20000000000005</v>
          </cell>
          <cell r="AZ153">
            <v>2861.52</v>
          </cell>
          <cell r="BA153">
            <v>2163.06</v>
          </cell>
          <cell r="BB153">
            <v>14895.47</v>
          </cell>
          <cell r="BC153">
            <v>7221.43</v>
          </cell>
          <cell r="BD153">
            <v>8661.9699999999993</v>
          </cell>
          <cell r="BE153">
            <v>8716.82</v>
          </cell>
          <cell r="BF153">
            <v>9578.0499999999993</v>
          </cell>
          <cell r="BG153">
            <v>10543.94</v>
          </cell>
          <cell r="BH153">
            <v>1022.5</v>
          </cell>
          <cell r="BI153">
            <v>906.9</v>
          </cell>
          <cell r="BJ153">
            <v>1217.17</v>
          </cell>
          <cell r="BK153">
            <v>6968.14</v>
          </cell>
          <cell r="BL153">
            <v>743.18</v>
          </cell>
          <cell r="BM153">
            <v>6574.25</v>
          </cell>
        </row>
        <row r="154">
          <cell r="A154" t="str">
            <v>CLAUDEMIR</v>
          </cell>
          <cell r="B154" t="str">
            <v>MATERIAIS ELETRICOS</v>
          </cell>
          <cell r="AY154">
            <v>285.38</v>
          </cell>
          <cell r="AZ154">
            <v>753.08</v>
          </cell>
          <cell r="BA154">
            <v>2699.06</v>
          </cell>
          <cell r="BB154">
            <v>1537.11</v>
          </cell>
          <cell r="BC154">
            <v>838.89</v>
          </cell>
          <cell r="BD154">
            <v>1683.3</v>
          </cell>
          <cell r="BE154">
            <v>2623.43</v>
          </cell>
          <cell r="BF154">
            <v>1695.29</v>
          </cell>
          <cell r="BG154">
            <v>1790.44</v>
          </cell>
          <cell r="BH154">
            <v>492.98</v>
          </cell>
          <cell r="BI154">
            <v>722.78</v>
          </cell>
          <cell r="BJ154">
            <v>806.29</v>
          </cell>
          <cell r="BK154">
            <v>351.6</v>
          </cell>
          <cell r="BL154">
            <v>1244.1199999999999</v>
          </cell>
          <cell r="BM154">
            <v>180.6</v>
          </cell>
        </row>
        <row r="155">
          <cell r="A155" t="str">
            <v>CLAUDEMIR</v>
          </cell>
          <cell r="B155" t="str">
            <v>METAIS</v>
          </cell>
          <cell r="AY155">
            <v>0</v>
          </cell>
          <cell r="AZ155">
            <v>-42.57</v>
          </cell>
          <cell r="BA155">
            <v>-72.8</v>
          </cell>
          <cell r="BB155">
            <v>294.8</v>
          </cell>
          <cell r="BC155">
            <v>448.1</v>
          </cell>
          <cell r="BD155">
            <v>900.03</v>
          </cell>
          <cell r="BE155">
            <v>9.75</v>
          </cell>
          <cell r="BF155">
            <v>270.47000000000003</v>
          </cell>
          <cell r="BG155">
            <v>526.5</v>
          </cell>
          <cell r="BH155">
            <v>86.4</v>
          </cell>
          <cell r="BI155">
            <v>188.05</v>
          </cell>
          <cell r="BJ155">
            <v>145.5</v>
          </cell>
          <cell r="BK155">
            <v>275.2</v>
          </cell>
          <cell r="BL155">
            <v>321.42</v>
          </cell>
          <cell r="BM155">
            <v>681.73</v>
          </cell>
        </row>
        <row r="156">
          <cell r="A156" t="str">
            <v>CLAUDEMIR</v>
          </cell>
          <cell r="B156" t="str">
            <v>MOVEIS</v>
          </cell>
          <cell r="AY156">
            <v>0</v>
          </cell>
          <cell r="AZ156">
            <v>0</v>
          </cell>
          <cell r="BA156">
            <v>0</v>
          </cell>
          <cell r="BB156">
            <v>750</v>
          </cell>
          <cell r="BC156">
            <v>0</v>
          </cell>
          <cell r="BD156">
            <v>1096.03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1075.8</v>
          </cell>
          <cell r="BL156">
            <v>0</v>
          </cell>
          <cell r="BM156">
            <v>0</v>
          </cell>
        </row>
        <row r="157">
          <cell r="A157" t="str">
            <v>CLAUDEMIR</v>
          </cell>
          <cell r="B157" t="str">
            <v>PINTURA</v>
          </cell>
          <cell r="AY157">
            <v>657.6</v>
          </cell>
          <cell r="AZ157">
            <v>503.81</v>
          </cell>
          <cell r="BA157">
            <v>316.67</v>
          </cell>
          <cell r="BB157">
            <v>920.2</v>
          </cell>
          <cell r="BC157">
            <v>1236.23</v>
          </cell>
          <cell r="BD157">
            <v>740.14</v>
          </cell>
          <cell r="BE157">
            <v>1469.82</v>
          </cell>
          <cell r="BF157">
            <v>1526.27</v>
          </cell>
          <cell r="BG157">
            <v>2065.34</v>
          </cell>
          <cell r="BH157">
            <v>1147.17</v>
          </cell>
          <cell r="BI157">
            <v>352.21</v>
          </cell>
          <cell r="BJ157">
            <v>1353.12</v>
          </cell>
          <cell r="BK157">
            <v>1453.89</v>
          </cell>
          <cell r="BL157">
            <v>652.88</v>
          </cell>
          <cell r="BM157">
            <v>322.99</v>
          </cell>
        </row>
        <row r="158">
          <cell r="A158" t="str">
            <v>CLAUDEMIR</v>
          </cell>
          <cell r="B158" t="str">
            <v>PISOS E REVESTIMENTOS</v>
          </cell>
          <cell r="AY158">
            <v>56.55</v>
          </cell>
          <cell r="AZ158">
            <v>625.80999999999995</v>
          </cell>
          <cell r="BA158">
            <v>3045.56</v>
          </cell>
          <cell r="BB158">
            <v>303.10000000000002</v>
          </cell>
          <cell r="BC158">
            <v>735.53</v>
          </cell>
          <cell r="BD158">
            <v>1784.01</v>
          </cell>
          <cell r="BE158">
            <v>757.64</v>
          </cell>
          <cell r="BF158">
            <v>1455.28</v>
          </cell>
          <cell r="BG158">
            <v>2992.27</v>
          </cell>
          <cell r="BH158">
            <v>1553.16</v>
          </cell>
          <cell r="BI158">
            <v>583.05999999999995</v>
          </cell>
          <cell r="BJ158">
            <v>1816.43</v>
          </cell>
          <cell r="BK158">
            <v>87.73</v>
          </cell>
          <cell r="BL158">
            <v>261.3</v>
          </cell>
          <cell r="BM158">
            <v>809.13</v>
          </cell>
        </row>
        <row r="159">
          <cell r="A159" t="str">
            <v>CLAUDEMIR</v>
          </cell>
          <cell r="B159" t="str">
            <v>PRATELEIRA  *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</row>
        <row r="160">
          <cell r="A160" t="str">
            <v>CLAUDEMIR</v>
          </cell>
          <cell r="B160" t="str">
            <v>ULTILIDADES DOMESTICAS  *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</row>
        <row r="161">
          <cell r="A161" t="str">
            <v>CLAUDEMIR</v>
          </cell>
          <cell r="B161" t="str">
            <v>zFERRAMENTAS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</row>
        <row r="162">
          <cell r="A162" t="str">
            <v>CLAUDEMIR</v>
          </cell>
          <cell r="B162" t="str">
            <v>zMATERIAIS BASICOS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</row>
        <row r="163">
          <cell r="A163" t="str">
            <v>CLAUDEMIR</v>
          </cell>
          <cell r="B163" t="str">
            <v>zPARAFUSOS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</row>
        <row r="166">
          <cell r="A166" t="str">
            <v>ANDREIA</v>
          </cell>
          <cell r="B166" t="str">
            <v>ACABAMENTO  **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</row>
        <row r="167">
          <cell r="A167" t="str">
            <v>ANDREIA</v>
          </cell>
          <cell r="B167" t="str">
            <v>COBERTURA</v>
          </cell>
          <cell r="AY167">
            <v>2370.59</v>
          </cell>
          <cell r="AZ167">
            <v>4073.03</v>
          </cell>
          <cell r="BA167">
            <v>3575.94</v>
          </cell>
          <cell r="BB167">
            <v>2045.29</v>
          </cell>
          <cell r="BC167">
            <v>1254.8499999999999</v>
          </cell>
          <cell r="BD167">
            <v>2236.81</v>
          </cell>
          <cell r="BE167">
            <v>306.3</v>
          </cell>
          <cell r="BF167">
            <v>4139.87</v>
          </cell>
          <cell r="BG167">
            <v>3313.91</v>
          </cell>
          <cell r="BH167">
            <v>1763.04</v>
          </cell>
          <cell r="BI167">
            <v>1299.93</v>
          </cell>
          <cell r="BJ167">
            <v>2614.9</v>
          </cell>
          <cell r="BK167">
            <v>1528.85</v>
          </cell>
          <cell r="BL167">
            <v>2994.32</v>
          </cell>
          <cell r="BM167">
            <v>1477.89</v>
          </cell>
        </row>
        <row r="168">
          <cell r="A168" t="str">
            <v>ANDREIA</v>
          </cell>
          <cell r="B168" t="str">
            <v>ELETRICA     **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</row>
        <row r="169">
          <cell r="A169" t="str">
            <v>ANDREIA</v>
          </cell>
          <cell r="B169" t="str">
            <v>ELETRODOMESTICOS   **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</row>
        <row r="170">
          <cell r="A170" t="str">
            <v>ANDREIA</v>
          </cell>
          <cell r="B170" t="str">
            <v>ESQUADRIAS</v>
          </cell>
          <cell r="AY170">
            <v>626.69000000000005</v>
          </cell>
          <cell r="AZ170">
            <v>1152.5</v>
          </cell>
          <cell r="BA170">
            <v>2031.63</v>
          </cell>
          <cell r="BB170">
            <v>2510.1799999999998</v>
          </cell>
          <cell r="BC170">
            <v>1753.45</v>
          </cell>
          <cell r="BD170">
            <v>209.91</v>
          </cell>
          <cell r="BE170">
            <v>2929.56</v>
          </cell>
          <cell r="BF170">
            <v>2294.9</v>
          </cell>
          <cell r="BG170">
            <v>1941.55</v>
          </cell>
          <cell r="BH170">
            <v>398.8</v>
          </cell>
          <cell r="BI170">
            <v>329.8</v>
          </cell>
          <cell r="BJ170">
            <v>451.9</v>
          </cell>
          <cell r="BK170">
            <v>806.7</v>
          </cell>
          <cell r="BL170">
            <v>699.1</v>
          </cell>
          <cell r="BM170">
            <v>1507.5</v>
          </cell>
        </row>
        <row r="171">
          <cell r="A171" t="str">
            <v>ANDREIA</v>
          </cell>
          <cell r="B171" t="str">
            <v>FERRAGENS</v>
          </cell>
          <cell r="AY171">
            <v>1480.32</v>
          </cell>
          <cell r="AZ171">
            <v>1033.6600000000001</v>
          </cell>
          <cell r="BA171">
            <v>2482.75</v>
          </cell>
          <cell r="BB171">
            <v>1187.9100000000001</v>
          </cell>
          <cell r="BC171">
            <v>2578.89</v>
          </cell>
          <cell r="BD171">
            <v>1882.51</v>
          </cell>
          <cell r="BE171">
            <v>1976.19</v>
          </cell>
          <cell r="BF171">
            <v>1680.31</v>
          </cell>
          <cell r="BG171">
            <v>2671.01</v>
          </cell>
          <cell r="BH171">
            <v>766.05</v>
          </cell>
          <cell r="BI171">
            <v>891.98</v>
          </cell>
          <cell r="BJ171">
            <v>1439.2</v>
          </cell>
          <cell r="BK171">
            <v>2564.08</v>
          </cell>
          <cell r="BL171">
            <v>939.09</v>
          </cell>
          <cell r="BM171">
            <v>626.61</v>
          </cell>
        </row>
        <row r="172">
          <cell r="A172" t="str">
            <v>ANDREIA</v>
          </cell>
          <cell r="B172" t="str">
            <v>FERRAMENTAS</v>
          </cell>
          <cell r="AY172">
            <v>2443.38</v>
          </cell>
          <cell r="AZ172">
            <v>2382.92</v>
          </cell>
          <cell r="BA172">
            <v>4020.94</v>
          </cell>
          <cell r="BB172">
            <v>4805.75</v>
          </cell>
          <cell r="BC172">
            <v>2895.27</v>
          </cell>
          <cell r="BD172">
            <v>2676.42</v>
          </cell>
          <cell r="BE172">
            <v>2379.6999999999998</v>
          </cell>
          <cell r="BF172">
            <v>2265.33</v>
          </cell>
          <cell r="BG172">
            <v>7823.67</v>
          </cell>
          <cell r="BH172">
            <v>1972.65</v>
          </cell>
          <cell r="BI172">
            <v>1646.29</v>
          </cell>
          <cell r="BJ172">
            <v>1764.97</v>
          </cell>
          <cell r="BK172">
            <v>3205.26</v>
          </cell>
          <cell r="BL172">
            <v>1279.22</v>
          </cell>
          <cell r="BM172">
            <v>2189.0700000000002</v>
          </cell>
        </row>
        <row r="173">
          <cell r="A173" t="str">
            <v>ANDREIA</v>
          </cell>
          <cell r="B173" t="str">
            <v>HIDRAULICAS</v>
          </cell>
          <cell r="AY173">
            <v>2568.3000000000002</v>
          </cell>
          <cell r="AZ173">
            <v>2662.13</v>
          </cell>
          <cell r="BA173">
            <v>2652.34</v>
          </cell>
          <cell r="BB173">
            <v>2508.92</v>
          </cell>
          <cell r="BC173">
            <v>10577.55</v>
          </cell>
          <cell r="BD173">
            <v>1891.77</v>
          </cell>
          <cell r="BE173">
            <v>4017.19</v>
          </cell>
          <cell r="BF173">
            <v>3201.7</v>
          </cell>
          <cell r="BG173">
            <v>13339.7</v>
          </cell>
          <cell r="BH173">
            <v>1813.49</v>
          </cell>
          <cell r="BI173">
            <v>6104.39</v>
          </cell>
          <cell r="BJ173">
            <v>2660.44</v>
          </cell>
          <cell r="BK173">
            <v>5782.77</v>
          </cell>
          <cell r="BL173">
            <v>1332.67</v>
          </cell>
          <cell r="BM173">
            <v>2194.5300000000002</v>
          </cell>
        </row>
        <row r="174">
          <cell r="A174" t="str">
            <v>ANDREIA</v>
          </cell>
          <cell r="B174" t="str">
            <v>ILUMINAÇÃO</v>
          </cell>
          <cell r="AY174">
            <v>102.26</v>
          </cell>
          <cell r="AZ174">
            <v>486.69</v>
          </cell>
          <cell r="BA174">
            <v>96.75</v>
          </cell>
          <cell r="BB174">
            <v>666.87</v>
          </cell>
          <cell r="BC174">
            <v>237.65</v>
          </cell>
          <cell r="BD174">
            <v>217.07</v>
          </cell>
          <cell r="BE174">
            <v>158.05000000000001</v>
          </cell>
          <cell r="BF174">
            <v>131.44999999999999</v>
          </cell>
          <cell r="BG174">
            <v>307.70999999999998</v>
          </cell>
          <cell r="BH174">
            <v>118.8</v>
          </cell>
          <cell r="BI174">
            <v>62.5</v>
          </cell>
          <cell r="BJ174">
            <v>109.42</v>
          </cell>
          <cell r="BK174">
            <v>360.6</v>
          </cell>
          <cell r="BL174">
            <v>158.19999999999999</v>
          </cell>
          <cell r="BM174">
            <v>435.32</v>
          </cell>
        </row>
        <row r="175">
          <cell r="A175" t="str">
            <v>ANDREIA</v>
          </cell>
          <cell r="B175" t="str">
            <v>JARDINAGEM   *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</row>
        <row r="176">
          <cell r="A176" t="str">
            <v>ANDREIA</v>
          </cell>
          <cell r="B176" t="str">
            <v>LAZER</v>
          </cell>
          <cell r="AY176">
            <v>406.45</v>
          </cell>
          <cell r="AZ176">
            <v>422.13</v>
          </cell>
          <cell r="BA176">
            <v>516.20000000000005</v>
          </cell>
          <cell r="BB176">
            <v>3804.35</v>
          </cell>
          <cell r="BC176">
            <v>271.82</v>
          </cell>
          <cell r="BD176">
            <v>269.8</v>
          </cell>
          <cell r="BE176">
            <v>136.55000000000001</v>
          </cell>
          <cell r="BF176">
            <v>254.6</v>
          </cell>
          <cell r="BG176">
            <v>1793.91</v>
          </cell>
          <cell r="BH176">
            <v>134.85</v>
          </cell>
          <cell r="BI176">
            <v>1882.74</v>
          </cell>
          <cell r="BJ176">
            <v>491.95</v>
          </cell>
          <cell r="BK176">
            <v>276.93</v>
          </cell>
          <cell r="BL176">
            <v>209.83</v>
          </cell>
          <cell r="BM176">
            <v>94.6</v>
          </cell>
        </row>
        <row r="177">
          <cell r="A177" t="str">
            <v>ANDREIA</v>
          </cell>
          <cell r="B177" t="str">
            <v>LOUÇAS</v>
          </cell>
          <cell r="AY177">
            <v>318.55</v>
          </cell>
          <cell r="AZ177">
            <v>90.8</v>
          </cell>
          <cell r="BA177">
            <v>195.9</v>
          </cell>
          <cell r="BB177">
            <v>1142.72</v>
          </cell>
          <cell r="BC177">
            <v>194.8</v>
          </cell>
          <cell r="BD177">
            <v>848.8</v>
          </cell>
          <cell r="BE177">
            <v>0</v>
          </cell>
          <cell r="BF177">
            <v>122.9</v>
          </cell>
          <cell r="BG177">
            <v>555.79999999999995</v>
          </cell>
          <cell r="BH177">
            <v>733.2</v>
          </cell>
          <cell r="BI177">
            <v>0</v>
          </cell>
          <cell r="BJ177">
            <v>699.6</v>
          </cell>
          <cell r="BK177">
            <v>159.9</v>
          </cell>
          <cell r="BL177">
            <v>955.8</v>
          </cell>
          <cell r="BM177">
            <v>296</v>
          </cell>
        </row>
        <row r="178">
          <cell r="A178" t="str">
            <v>ANDREIA</v>
          </cell>
          <cell r="B178" t="str">
            <v>MATERIAIS BÁSICOS</v>
          </cell>
          <cell r="AY178">
            <v>12590.93</v>
          </cell>
          <cell r="AZ178">
            <v>6948.53</v>
          </cell>
          <cell r="BA178">
            <v>7223.5</v>
          </cell>
          <cell r="BB178">
            <v>19150.88</v>
          </cell>
          <cell r="BC178">
            <v>20855.439999999999</v>
          </cell>
          <cell r="BD178">
            <v>17036.8</v>
          </cell>
          <cell r="BE178">
            <v>6820.11</v>
          </cell>
          <cell r="BF178">
            <v>18856.46</v>
          </cell>
          <cell r="BG178">
            <v>65043.44</v>
          </cell>
          <cell r="BH178">
            <v>8492.7099999999991</v>
          </cell>
          <cell r="BI178">
            <v>5694.87</v>
          </cell>
          <cell r="BJ178">
            <v>11369.04</v>
          </cell>
          <cell r="BK178">
            <v>7670.07</v>
          </cell>
          <cell r="BL178">
            <v>4758.8500000000004</v>
          </cell>
          <cell r="BM178">
            <v>8502.61</v>
          </cell>
        </row>
        <row r="179">
          <cell r="A179" t="str">
            <v>ANDREIA</v>
          </cell>
          <cell r="B179" t="str">
            <v>MATERIAIS ELETRICOS</v>
          </cell>
          <cell r="AY179">
            <v>2484.4699999999998</v>
          </cell>
          <cell r="AZ179">
            <v>1434.67</v>
          </cell>
          <cell r="BA179">
            <v>1922.86</v>
          </cell>
          <cell r="BB179">
            <v>1417.04</v>
          </cell>
          <cell r="BC179">
            <v>2710.67</v>
          </cell>
          <cell r="BD179">
            <v>2514.0500000000002</v>
          </cell>
          <cell r="BE179">
            <v>4130.58</v>
          </cell>
          <cell r="BF179">
            <v>1330.96</v>
          </cell>
          <cell r="BG179">
            <v>2775.33</v>
          </cell>
          <cell r="BH179">
            <v>2115.17</v>
          </cell>
          <cell r="BI179">
            <v>2674.79</v>
          </cell>
          <cell r="BJ179">
            <v>1285.6500000000001</v>
          </cell>
          <cell r="BK179">
            <v>3574.39</v>
          </cell>
          <cell r="BL179">
            <v>2196.5100000000002</v>
          </cell>
          <cell r="BM179">
            <v>980.88</v>
          </cell>
        </row>
        <row r="180">
          <cell r="A180" t="str">
            <v>ANDREIA</v>
          </cell>
          <cell r="B180" t="str">
            <v>METAIS</v>
          </cell>
          <cell r="AY180">
            <v>1330.15</v>
          </cell>
          <cell r="AZ180">
            <v>547.29999999999995</v>
          </cell>
          <cell r="BA180">
            <v>904.02</v>
          </cell>
          <cell r="BB180">
            <v>228.49</v>
          </cell>
          <cell r="BC180">
            <v>871.58</v>
          </cell>
          <cell r="BD180">
            <v>409.49</v>
          </cell>
          <cell r="BE180">
            <v>915.5</v>
          </cell>
          <cell r="BF180">
            <v>734.75</v>
          </cell>
          <cell r="BG180">
            <v>1572.51</v>
          </cell>
          <cell r="BH180">
            <v>479.98</v>
          </cell>
          <cell r="BI180">
            <v>596.55999999999995</v>
          </cell>
          <cell r="BJ180">
            <v>639.36</v>
          </cell>
          <cell r="BK180">
            <v>799.37</v>
          </cell>
          <cell r="BL180">
            <v>602.27</v>
          </cell>
          <cell r="BM180">
            <v>722</v>
          </cell>
        </row>
        <row r="181">
          <cell r="A181" t="str">
            <v>ANDREIA</v>
          </cell>
          <cell r="B181" t="str">
            <v>MOVEIS</v>
          </cell>
          <cell r="AY181">
            <v>1671.6</v>
          </cell>
          <cell r="AZ181">
            <v>35.700000000000003</v>
          </cell>
          <cell r="BA181">
            <v>0</v>
          </cell>
          <cell r="BB181">
            <v>2196.0700000000002</v>
          </cell>
          <cell r="BC181">
            <v>489.9</v>
          </cell>
          <cell r="BD181">
            <v>240.53</v>
          </cell>
          <cell r="BE181">
            <v>-46.95</v>
          </cell>
          <cell r="BF181">
            <v>0</v>
          </cell>
          <cell r="BG181">
            <v>2114.6999999999998</v>
          </cell>
          <cell r="BH181">
            <v>1399.7</v>
          </cell>
          <cell r="BI181">
            <v>229.8</v>
          </cell>
          <cell r="BJ181">
            <v>1137.4000000000001</v>
          </cell>
          <cell r="BK181">
            <v>0</v>
          </cell>
          <cell r="BL181">
            <v>0</v>
          </cell>
          <cell r="BM181">
            <v>2.0299999999999998</v>
          </cell>
        </row>
        <row r="182">
          <cell r="A182" t="str">
            <v>ANDREIA</v>
          </cell>
          <cell r="B182" t="str">
            <v>PINTURA</v>
          </cell>
          <cell r="AY182">
            <v>1615.02</v>
          </cell>
          <cell r="AZ182">
            <v>1301.29</v>
          </cell>
          <cell r="BA182">
            <v>1969.38</v>
          </cell>
          <cell r="BB182">
            <v>2982.85</v>
          </cell>
          <cell r="BC182">
            <v>2487.58</v>
          </cell>
          <cell r="BD182">
            <v>1797.63</v>
          </cell>
          <cell r="BE182">
            <v>2449.6799999999998</v>
          </cell>
          <cell r="BF182">
            <v>1705.81</v>
          </cell>
          <cell r="BG182">
            <v>3319.86</v>
          </cell>
          <cell r="BH182">
            <v>1335.47</v>
          </cell>
          <cell r="BI182">
            <v>1185.75</v>
          </cell>
          <cell r="BJ182">
            <v>1358.01</v>
          </cell>
          <cell r="BK182">
            <v>2160.71</v>
          </cell>
          <cell r="BL182">
            <v>2194.29</v>
          </cell>
          <cell r="BM182">
            <v>1546.27</v>
          </cell>
        </row>
        <row r="183">
          <cell r="A183" t="str">
            <v>ANDREIA</v>
          </cell>
          <cell r="B183" t="str">
            <v>PISOS E REVESTIMENTOS</v>
          </cell>
          <cell r="AY183">
            <v>2096.56</v>
          </cell>
          <cell r="AZ183">
            <v>1064.18</v>
          </cell>
          <cell r="BA183">
            <v>3537.15</v>
          </cell>
          <cell r="BB183">
            <v>10320.799999999999</v>
          </cell>
          <cell r="BC183">
            <v>7327.37</v>
          </cell>
          <cell r="BD183">
            <v>3913.21</v>
          </cell>
          <cell r="BE183">
            <v>940.11</v>
          </cell>
          <cell r="BF183">
            <v>1325.53</v>
          </cell>
          <cell r="BG183">
            <v>13667.38</v>
          </cell>
          <cell r="BH183">
            <v>1686.56</v>
          </cell>
          <cell r="BI183">
            <v>5385.34</v>
          </cell>
          <cell r="BJ183">
            <v>4721.6499999999996</v>
          </cell>
          <cell r="BK183">
            <v>5356.76</v>
          </cell>
          <cell r="BL183">
            <v>3388.07</v>
          </cell>
          <cell r="BM183">
            <v>3638.36</v>
          </cell>
        </row>
        <row r="184">
          <cell r="A184" t="str">
            <v>ANDREIA</v>
          </cell>
          <cell r="B184" t="str">
            <v>PRATELEIRA  *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</row>
        <row r="185">
          <cell r="A185" t="str">
            <v>ANDREIA</v>
          </cell>
          <cell r="B185" t="str">
            <v>ULTILIDADES DOMESTICAS  *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</row>
        <row r="186">
          <cell r="A186" t="str">
            <v>ANDREIA</v>
          </cell>
          <cell r="B186" t="str">
            <v>zFERRAMENTAS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</row>
        <row r="187">
          <cell r="A187" t="str">
            <v>ANDREIA</v>
          </cell>
          <cell r="B187" t="str">
            <v>zMATERIAIS BASICOS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</row>
        <row r="188">
          <cell r="A188" t="str">
            <v>ANDREIA</v>
          </cell>
          <cell r="B188" t="str">
            <v>zPARAFUSOS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</row>
        <row r="191">
          <cell r="A191" t="str">
            <v>SEBASTIAO</v>
          </cell>
          <cell r="B191" t="str">
            <v>ACABAMENTO  **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</row>
        <row r="192">
          <cell r="A192" t="str">
            <v>SEBASTIAO</v>
          </cell>
          <cell r="B192" t="str">
            <v>COBERTURA</v>
          </cell>
          <cell r="AY192">
            <v>0</v>
          </cell>
          <cell r="AZ192">
            <v>132.69999999999999</v>
          </cell>
          <cell r="BA192">
            <v>4.4000000000000004</v>
          </cell>
          <cell r="BB192">
            <v>2.16</v>
          </cell>
          <cell r="BC192">
            <v>0</v>
          </cell>
          <cell r="BD192">
            <v>382.32</v>
          </cell>
          <cell r="BE192">
            <v>263.31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</row>
        <row r="193">
          <cell r="A193" t="str">
            <v>SEBASTIAO</v>
          </cell>
          <cell r="B193" t="str">
            <v>ELETRICA     **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</row>
        <row r="194">
          <cell r="A194" t="str">
            <v>SEBASTIAO</v>
          </cell>
          <cell r="B194" t="str">
            <v>ELETRODOMESTICOS   **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</row>
        <row r="195">
          <cell r="A195" t="str">
            <v>SEBASTIAO</v>
          </cell>
          <cell r="B195" t="str">
            <v>ESQUADRIAS</v>
          </cell>
          <cell r="AY195">
            <v>722.25</v>
          </cell>
          <cell r="AZ195">
            <v>0</v>
          </cell>
          <cell r="BA195">
            <v>121.2</v>
          </cell>
          <cell r="BB195">
            <v>-75.900000000000006</v>
          </cell>
          <cell r="BC195">
            <v>0</v>
          </cell>
          <cell r="BD195">
            <v>297.94</v>
          </cell>
          <cell r="BE195">
            <v>360.93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444.48</v>
          </cell>
          <cell r="BM195">
            <v>0</v>
          </cell>
        </row>
        <row r="196">
          <cell r="A196" t="str">
            <v>SEBASTIAO</v>
          </cell>
          <cell r="B196" t="str">
            <v>FERRAGENS</v>
          </cell>
          <cell r="AY196">
            <v>248.92</v>
          </cell>
          <cell r="AZ196">
            <v>174.7</v>
          </cell>
          <cell r="BA196">
            <v>447.17</v>
          </cell>
          <cell r="BB196">
            <v>434.26</v>
          </cell>
          <cell r="BC196">
            <v>642.21</v>
          </cell>
          <cell r="BD196">
            <v>710.41</v>
          </cell>
          <cell r="BE196">
            <v>299.5</v>
          </cell>
          <cell r="BF196">
            <v>48.67</v>
          </cell>
          <cell r="BG196">
            <v>0</v>
          </cell>
          <cell r="BH196">
            <v>0</v>
          </cell>
          <cell r="BI196">
            <v>0</v>
          </cell>
          <cell r="BJ196">
            <v>0.1</v>
          </cell>
          <cell r="BK196">
            <v>90.22</v>
          </cell>
          <cell r="BL196">
            <v>34.020000000000003</v>
          </cell>
          <cell r="BM196">
            <v>0</v>
          </cell>
        </row>
        <row r="197">
          <cell r="A197" t="str">
            <v>SEBASTIAO</v>
          </cell>
          <cell r="B197" t="str">
            <v>FERRAMENTAS</v>
          </cell>
          <cell r="AY197">
            <v>418.74</v>
          </cell>
          <cell r="AZ197">
            <v>786.13</v>
          </cell>
          <cell r="BA197">
            <v>758.99</v>
          </cell>
          <cell r="BB197">
            <v>657.03</v>
          </cell>
          <cell r="BC197">
            <v>1014.3</v>
          </cell>
          <cell r="BD197">
            <v>1736.46</v>
          </cell>
          <cell r="BE197">
            <v>558</v>
          </cell>
          <cell r="BF197">
            <v>377.34</v>
          </cell>
          <cell r="BG197">
            <v>185.85</v>
          </cell>
          <cell r="BH197">
            <v>0.01</v>
          </cell>
          <cell r="BI197">
            <v>0.01</v>
          </cell>
          <cell r="BJ197">
            <v>0</v>
          </cell>
          <cell r="BK197">
            <v>32.49</v>
          </cell>
          <cell r="BL197">
            <v>78.959999999999994</v>
          </cell>
          <cell r="BM197">
            <v>242.74</v>
          </cell>
        </row>
        <row r="198">
          <cell r="A198" t="str">
            <v>SEBASTIAO</v>
          </cell>
          <cell r="B198" t="str">
            <v>HIDRAULICAS</v>
          </cell>
          <cell r="AY198">
            <v>6.99</v>
          </cell>
          <cell r="AZ198">
            <v>714.27</v>
          </cell>
          <cell r="BA198">
            <v>269.94</v>
          </cell>
          <cell r="BB198">
            <v>708.67</v>
          </cell>
          <cell r="BC198">
            <v>833.2</v>
          </cell>
          <cell r="BD198">
            <v>2204.0300000000002</v>
          </cell>
          <cell r="BE198">
            <v>543.79999999999995</v>
          </cell>
          <cell r="BF198">
            <v>53.74</v>
          </cell>
          <cell r="BG198">
            <v>27.43</v>
          </cell>
          <cell r="BH198">
            <v>0</v>
          </cell>
          <cell r="BI198">
            <v>0</v>
          </cell>
          <cell r="BJ198">
            <v>0</v>
          </cell>
          <cell r="BK198">
            <v>-4.82</v>
          </cell>
          <cell r="BL198">
            <v>8.5399999999999991</v>
          </cell>
          <cell r="BM198">
            <v>0</v>
          </cell>
        </row>
        <row r="199">
          <cell r="A199" t="str">
            <v>SEBASTIAO</v>
          </cell>
          <cell r="B199" t="str">
            <v>ILUMINAÇÃO</v>
          </cell>
          <cell r="AY199">
            <v>19.899999999999999</v>
          </cell>
          <cell r="AZ199">
            <v>0</v>
          </cell>
          <cell r="BA199">
            <v>10.7</v>
          </cell>
          <cell r="BB199">
            <v>100.6</v>
          </cell>
          <cell r="BC199">
            <v>63.2</v>
          </cell>
          <cell r="BD199">
            <v>113.1</v>
          </cell>
          <cell r="BE199">
            <v>272.76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</row>
        <row r="200">
          <cell r="A200" t="str">
            <v>SEBASTIAO</v>
          </cell>
          <cell r="B200" t="str">
            <v>JARDINAGEM   *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</row>
        <row r="201">
          <cell r="A201" t="str">
            <v>SEBASTIAO</v>
          </cell>
          <cell r="B201" t="str">
            <v>LAZER</v>
          </cell>
          <cell r="AY201">
            <v>0</v>
          </cell>
          <cell r="AZ201">
            <v>52.5</v>
          </cell>
          <cell r="BA201">
            <v>17.899999999999999</v>
          </cell>
          <cell r="BB201">
            <v>139</v>
          </cell>
          <cell r="BC201">
            <v>308.11</v>
          </cell>
          <cell r="BD201">
            <v>109.3</v>
          </cell>
          <cell r="BE201">
            <v>307.12</v>
          </cell>
          <cell r="BF201">
            <v>13.9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5.56</v>
          </cell>
          <cell r="BM201">
            <v>0</v>
          </cell>
        </row>
        <row r="202">
          <cell r="A202" t="str">
            <v>SEBASTIAO</v>
          </cell>
          <cell r="B202" t="str">
            <v>LOUÇAS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</row>
        <row r="203">
          <cell r="A203" t="str">
            <v>SEBASTIAO</v>
          </cell>
          <cell r="B203" t="str">
            <v>MATERIAIS BÁSICOS</v>
          </cell>
          <cell r="AY203">
            <v>6203.62</v>
          </cell>
          <cell r="AZ203">
            <v>852.45</v>
          </cell>
          <cell r="BA203">
            <v>2332.4</v>
          </cell>
          <cell r="BB203">
            <v>2283.31</v>
          </cell>
          <cell r="BC203">
            <v>1574.55</v>
          </cell>
          <cell r="BD203">
            <v>1311.03</v>
          </cell>
          <cell r="BE203">
            <v>128.5</v>
          </cell>
          <cell r="BF203">
            <v>379.38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</row>
        <row r="204">
          <cell r="A204" t="str">
            <v>SEBASTIAO</v>
          </cell>
          <cell r="B204" t="str">
            <v>MATERIAIS ELETRICOS</v>
          </cell>
          <cell r="AY204">
            <v>285.38</v>
          </cell>
          <cell r="AZ204">
            <v>144.61000000000001</v>
          </cell>
          <cell r="BA204">
            <v>1070.48</v>
          </cell>
          <cell r="BB204">
            <v>775.55</v>
          </cell>
          <cell r="BC204">
            <v>154.62</v>
          </cell>
          <cell r="BD204">
            <v>633.79</v>
          </cell>
          <cell r="BE204">
            <v>581.94000000000005</v>
          </cell>
          <cell r="BF204">
            <v>167.53</v>
          </cell>
          <cell r="BG204">
            <v>3.75</v>
          </cell>
          <cell r="BH204">
            <v>0</v>
          </cell>
          <cell r="BI204">
            <v>0</v>
          </cell>
          <cell r="BJ204">
            <v>0</v>
          </cell>
          <cell r="BK204">
            <v>64.069999999999993</v>
          </cell>
          <cell r="BL204">
            <v>4.96</v>
          </cell>
          <cell r="BM204">
            <v>0</v>
          </cell>
        </row>
        <row r="205">
          <cell r="A205" t="str">
            <v>SEBASTIAO</v>
          </cell>
          <cell r="B205" t="str">
            <v>METAIS</v>
          </cell>
          <cell r="AY205">
            <v>0</v>
          </cell>
          <cell r="AZ205">
            <v>136.74</v>
          </cell>
          <cell r="BA205">
            <v>118.3</v>
          </cell>
          <cell r="BB205">
            <v>332</v>
          </cell>
          <cell r="BC205">
            <v>119.91</v>
          </cell>
          <cell r="BD205">
            <v>124.39</v>
          </cell>
          <cell r="BE205">
            <v>13.9</v>
          </cell>
          <cell r="BF205">
            <v>0</v>
          </cell>
          <cell r="BG205">
            <v>17.12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</row>
        <row r="206">
          <cell r="A206" t="str">
            <v>SEBASTIAO</v>
          </cell>
          <cell r="B206" t="str">
            <v>MOVEIS</v>
          </cell>
          <cell r="AY206">
            <v>0</v>
          </cell>
          <cell r="AZ206">
            <v>0</v>
          </cell>
          <cell r="BA206">
            <v>0</v>
          </cell>
          <cell r="BB206">
            <v>69.8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230.36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</row>
        <row r="207">
          <cell r="A207" t="str">
            <v>SEBASTIAO</v>
          </cell>
          <cell r="B207" t="str">
            <v>PINTURA</v>
          </cell>
          <cell r="AY207">
            <v>657.6</v>
          </cell>
          <cell r="AZ207">
            <v>420.74</v>
          </cell>
          <cell r="BA207">
            <v>617.79999999999995</v>
          </cell>
          <cell r="BB207">
            <v>232.5</v>
          </cell>
          <cell r="BC207">
            <v>122.85</v>
          </cell>
          <cell r="BD207">
            <v>443.44</v>
          </cell>
          <cell r="BE207">
            <v>383.99</v>
          </cell>
          <cell r="BF207">
            <v>149.07</v>
          </cell>
          <cell r="BG207">
            <v>212.86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115.09</v>
          </cell>
          <cell r="BM207">
            <v>0</v>
          </cell>
        </row>
        <row r="208">
          <cell r="A208" t="str">
            <v>SEBASTIAO</v>
          </cell>
          <cell r="B208" t="str">
            <v>PISOS E REVESTIMENTOS</v>
          </cell>
          <cell r="AY208">
            <v>56.55</v>
          </cell>
          <cell r="AZ208">
            <v>238.16</v>
          </cell>
          <cell r="BA208">
            <v>240.19</v>
          </cell>
          <cell r="BB208">
            <v>369.5</v>
          </cell>
          <cell r="BC208">
            <v>354.65</v>
          </cell>
          <cell r="BD208">
            <v>208.39</v>
          </cell>
          <cell r="BE208">
            <v>855.28</v>
          </cell>
          <cell r="BF208">
            <v>1863.5</v>
          </cell>
          <cell r="BG208">
            <v>-0.36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</row>
        <row r="209">
          <cell r="A209" t="str">
            <v>SEBASTIAO</v>
          </cell>
          <cell r="B209" t="str">
            <v>PRATELEIRA  *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</row>
        <row r="210">
          <cell r="A210" t="str">
            <v>SEBASTIAO</v>
          </cell>
          <cell r="B210" t="str">
            <v>ULTILIDADES DOMESTICAS  *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</row>
        <row r="211">
          <cell r="A211" t="str">
            <v>SEBASTIAO</v>
          </cell>
          <cell r="B211" t="str">
            <v>zFERRAMENTAS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</row>
        <row r="212">
          <cell r="A212" t="str">
            <v>SEBASTIAO</v>
          </cell>
          <cell r="B212" t="str">
            <v>zMATERIAIS BASICOS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</row>
        <row r="213">
          <cell r="A213" t="str">
            <v>SEBASTIAO</v>
          </cell>
          <cell r="B213" t="str">
            <v>zPARAFUSOS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</row>
        <row r="216">
          <cell r="A216" t="str">
            <v xml:space="preserve">FRANCISCO </v>
          </cell>
          <cell r="B216" t="str">
            <v>ACABAMENTO  **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</row>
        <row r="217">
          <cell r="A217" t="str">
            <v xml:space="preserve">FRANCISCO </v>
          </cell>
          <cell r="B217" t="str">
            <v>COBERTURA</v>
          </cell>
          <cell r="AY217">
            <v>2213.0100000000002</v>
          </cell>
          <cell r="AZ217">
            <v>4675.72</v>
          </cell>
          <cell r="BA217">
            <v>240</v>
          </cell>
          <cell r="BB217">
            <v>566</v>
          </cell>
          <cell r="BC217">
            <v>1799.15</v>
          </cell>
          <cell r="BD217">
            <v>0</v>
          </cell>
          <cell r="BE217">
            <v>117</v>
          </cell>
          <cell r="BF217">
            <v>0</v>
          </cell>
          <cell r="BG217">
            <v>5020.83</v>
          </cell>
          <cell r="BH217">
            <v>1599.88</v>
          </cell>
          <cell r="BI217">
            <v>935.22</v>
          </cell>
          <cell r="BJ217">
            <v>576.44000000000005</v>
          </cell>
          <cell r="BK217">
            <v>335.6</v>
          </cell>
          <cell r="BL217">
            <v>0</v>
          </cell>
          <cell r="BM217">
            <v>111.98</v>
          </cell>
        </row>
        <row r="218">
          <cell r="A218" t="str">
            <v xml:space="preserve">FRANCISCO </v>
          </cell>
          <cell r="B218" t="str">
            <v>ELETRICA     **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</row>
        <row r="219">
          <cell r="A219" t="str">
            <v xml:space="preserve">FRANCISCO </v>
          </cell>
          <cell r="B219" t="str">
            <v>ELETRODOMESTICOS   **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</row>
        <row r="220">
          <cell r="A220" t="str">
            <v xml:space="preserve">FRANCISCO </v>
          </cell>
          <cell r="B220" t="str">
            <v>ESQUADRIAS</v>
          </cell>
          <cell r="AY220">
            <v>225.9</v>
          </cell>
          <cell r="AZ220">
            <v>5657.2</v>
          </cell>
          <cell r="BA220">
            <v>0</v>
          </cell>
          <cell r="BB220">
            <v>4122.33</v>
          </cell>
          <cell r="BC220">
            <v>1319.9</v>
          </cell>
          <cell r="BD220">
            <v>839.8</v>
          </cell>
          <cell r="BE220">
            <v>143.02000000000001</v>
          </cell>
          <cell r="BF220">
            <v>870.02</v>
          </cell>
          <cell r="BG220">
            <v>7004.6</v>
          </cell>
          <cell r="BH220">
            <v>18.899999999999999</v>
          </cell>
          <cell r="BI220">
            <v>596.85</v>
          </cell>
          <cell r="BJ220">
            <v>0</v>
          </cell>
          <cell r="BK220">
            <v>31.9</v>
          </cell>
          <cell r="BL220">
            <v>0</v>
          </cell>
          <cell r="BM220">
            <v>350.03</v>
          </cell>
        </row>
        <row r="221">
          <cell r="A221" t="str">
            <v xml:space="preserve">FRANCISCO </v>
          </cell>
          <cell r="B221" t="str">
            <v>FERRAGENS</v>
          </cell>
          <cell r="AY221">
            <v>305.39</v>
          </cell>
          <cell r="AZ221">
            <v>541.86</v>
          </cell>
          <cell r="BA221">
            <v>679.11</v>
          </cell>
          <cell r="BB221">
            <v>752.7</v>
          </cell>
          <cell r="BC221">
            <v>439.21</v>
          </cell>
          <cell r="BD221">
            <v>336.61</v>
          </cell>
          <cell r="BE221">
            <v>528.22</v>
          </cell>
          <cell r="BF221">
            <v>908.03</v>
          </cell>
          <cell r="BG221">
            <v>664.21</v>
          </cell>
          <cell r="BH221">
            <v>55.7</v>
          </cell>
          <cell r="BI221">
            <v>157.56</v>
          </cell>
          <cell r="BJ221">
            <v>451.85</v>
          </cell>
          <cell r="BK221">
            <v>203.03</v>
          </cell>
          <cell r="BL221">
            <v>21.49</v>
          </cell>
          <cell r="BM221">
            <v>242.07</v>
          </cell>
        </row>
        <row r="222">
          <cell r="A222" t="str">
            <v xml:space="preserve">FRANCISCO </v>
          </cell>
          <cell r="B222" t="str">
            <v>FERRAMENTAS</v>
          </cell>
          <cell r="AY222">
            <v>779.63</v>
          </cell>
          <cell r="AZ222">
            <v>725.17</v>
          </cell>
          <cell r="BA222">
            <v>863.1</v>
          </cell>
          <cell r="BB222">
            <v>825.76</v>
          </cell>
          <cell r="BC222">
            <v>385.14</v>
          </cell>
          <cell r="BD222">
            <v>1830.16</v>
          </cell>
          <cell r="BE222">
            <v>917.36</v>
          </cell>
          <cell r="BF222">
            <v>478.11</v>
          </cell>
          <cell r="BG222">
            <v>2640.42</v>
          </cell>
          <cell r="BH222">
            <v>233.44</v>
          </cell>
          <cell r="BI222">
            <v>459.31</v>
          </cell>
          <cell r="BJ222">
            <v>296.06</v>
          </cell>
          <cell r="BK222">
            <v>540.03</v>
          </cell>
          <cell r="BL222">
            <v>215.71</v>
          </cell>
          <cell r="BM222">
            <v>726.81</v>
          </cell>
        </row>
        <row r="223">
          <cell r="A223" t="str">
            <v xml:space="preserve">FRANCISCO </v>
          </cell>
          <cell r="B223" t="str">
            <v>HIDRAULICAS</v>
          </cell>
          <cell r="AY223">
            <v>6201.61</v>
          </cell>
          <cell r="AZ223">
            <v>327.8</v>
          </cell>
          <cell r="BA223">
            <v>5766.45</v>
          </cell>
          <cell r="BB223">
            <v>561.85</v>
          </cell>
          <cell r="BC223">
            <v>4938.75</v>
          </cell>
          <cell r="BD223">
            <v>896.28</v>
          </cell>
          <cell r="BE223">
            <v>562.45000000000005</v>
          </cell>
          <cell r="BF223">
            <v>605.48</v>
          </cell>
          <cell r="BG223">
            <v>14213.67</v>
          </cell>
          <cell r="BH223">
            <v>459.2</v>
          </cell>
          <cell r="BI223">
            <v>1199.17</v>
          </cell>
          <cell r="BJ223">
            <v>501.05</v>
          </cell>
          <cell r="BK223">
            <v>788.08</v>
          </cell>
          <cell r="BL223">
            <v>251.25</v>
          </cell>
          <cell r="BM223">
            <v>1601.95</v>
          </cell>
        </row>
        <row r="224">
          <cell r="A224" t="str">
            <v xml:space="preserve">FRANCISCO </v>
          </cell>
          <cell r="B224" t="str">
            <v>ILUMINAÇÃO</v>
          </cell>
          <cell r="AY224">
            <v>0</v>
          </cell>
          <cell r="AZ224">
            <v>0</v>
          </cell>
          <cell r="BA224">
            <v>16.64</v>
          </cell>
          <cell r="BB224">
            <v>181.8</v>
          </cell>
          <cell r="BC224">
            <v>32.9</v>
          </cell>
          <cell r="BD224">
            <v>0</v>
          </cell>
          <cell r="BE224">
            <v>10.95</v>
          </cell>
          <cell r="BF224">
            <v>1368.85</v>
          </cell>
          <cell r="BG224">
            <v>19.260000000000002</v>
          </cell>
          <cell r="BH224">
            <v>0</v>
          </cell>
          <cell r="BI224">
            <v>73.47</v>
          </cell>
          <cell r="BJ224">
            <v>24.9</v>
          </cell>
          <cell r="BK224">
            <v>349.1</v>
          </cell>
          <cell r="BL224">
            <v>249.5</v>
          </cell>
          <cell r="BM224">
            <v>-20.85</v>
          </cell>
        </row>
        <row r="225">
          <cell r="A225" t="str">
            <v xml:space="preserve">FRANCISCO </v>
          </cell>
          <cell r="B225" t="str">
            <v>JARDINAGEM   *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</row>
        <row r="226">
          <cell r="A226" t="str">
            <v xml:space="preserve">FRANCISCO </v>
          </cell>
          <cell r="B226" t="str">
            <v>LAZER</v>
          </cell>
          <cell r="AY226">
            <v>223.44</v>
          </cell>
          <cell r="AZ226">
            <v>59.14</v>
          </cell>
          <cell r="BA226">
            <v>2540.4</v>
          </cell>
          <cell r="BB226">
            <v>2348.4499999999998</v>
          </cell>
          <cell r="BC226">
            <v>2437.25</v>
          </cell>
          <cell r="BD226">
            <v>3941.8</v>
          </cell>
          <cell r="BE226">
            <v>1264.05</v>
          </cell>
          <cell r="BF226">
            <v>722.68</v>
          </cell>
          <cell r="BG226">
            <v>656.38</v>
          </cell>
          <cell r="BH226">
            <v>78.900000000000006</v>
          </cell>
          <cell r="BI226">
            <v>168.15</v>
          </cell>
          <cell r="BJ226">
            <v>110.6</v>
          </cell>
          <cell r="BK226">
            <v>19.79</v>
          </cell>
          <cell r="BL226">
            <v>24</v>
          </cell>
          <cell r="BM226">
            <v>0</v>
          </cell>
        </row>
        <row r="227">
          <cell r="A227" t="str">
            <v xml:space="preserve">FRANCISCO </v>
          </cell>
          <cell r="B227" t="str">
            <v>LOUÇAS</v>
          </cell>
          <cell r="AY227">
            <v>0</v>
          </cell>
          <cell r="AZ227">
            <v>4799.3999999999996</v>
          </cell>
          <cell r="BA227">
            <v>0</v>
          </cell>
          <cell r="BB227">
            <v>0</v>
          </cell>
          <cell r="BC227">
            <v>0</v>
          </cell>
          <cell r="BD227">
            <v>44.9</v>
          </cell>
          <cell r="BE227">
            <v>0</v>
          </cell>
          <cell r="BF227">
            <v>0</v>
          </cell>
          <cell r="BG227">
            <v>159.9</v>
          </cell>
          <cell r="BH227">
            <v>0</v>
          </cell>
          <cell r="BI227">
            <v>744.62</v>
          </cell>
          <cell r="BJ227">
            <v>0</v>
          </cell>
          <cell r="BK227">
            <v>7302.1</v>
          </cell>
          <cell r="BL227">
            <v>0</v>
          </cell>
          <cell r="BM227">
            <v>219</v>
          </cell>
        </row>
        <row r="228">
          <cell r="A228" t="str">
            <v xml:space="preserve">FRANCISCO </v>
          </cell>
          <cell r="B228" t="str">
            <v>MATERIAIS BÁSICOS</v>
          </cell>
          <cell r="AY228">
            <v>5616.73</v>
          </cell>
          <cell r="AZ228">
            <v>4431.74</v>
          </cell>
          <cell r="BA228">
            <v>6198.62</v>
          </cell>
          <cell r="BB228">
            <v>5450.22</v>
          </cell>
          <cell r="BC228">
            <v>5077.3500000000004</v>
          </cell>
          <cell r="BD228">
            <v>1991.5</v>
          </cell>
          <cell r="BE228">
            <v>3590.14</v>
          </cell>
          <cell r="BF228">
            <v>12002.97</v>
          </cell>
          <cell r="BG228">
            <v>41631.86</v>
          </cell>
          <cell r="BH228">
            <v>2954.45</v>
          </cell>
          <cell r="BI228">
            <v>4573.26</v>
          </cell>
          <cell r="BJ228">
            <v>6116.88</v>
          </cell>
          <cell r="BK228">
            <v>1184.6600000000001</v>
          </cell>
          <cell r="BL228">
            <v>345.6</v>
          </cell>
          <cell r="BM228">
            <v>895.76</v>
          </cell>
        </row>
        <row r="229">
          <cell r="A229" t="str">
            <v xml:space="preserve">FRANCISCO </v>
          </cell>
          <cell r="B229" t="str">
            <v>MATERIAIS ELETRICOS</v>
          </cell>
          <cell r="AY229">
            <v>315.89999999999998</v>
          </cell>
          <cell r="AZ229">
            <v>511.75</v>
          </cell>
          <cell r="BA229">
            <v>793.73</v>
          </cell>
          <cell r="BB229">
            <v>2599.48</v>
          </cell>
          <cell r="BC229">
            <v>416.92</v>
          </cell>
          <cell r="BD229">
            <v>461.31</v>
          </cell>
          <cell r="BE229">
            <v>496.78</v>
          </cell>
          <cell r="BF229">
            <v>196.96</v>
          </cell>
          <cell r="BG229">
            <v>705.65</v>
          </cell>
          <cell r="BH229">
            <v>721.43</v>
          </cell>
          <cell r="BI229">
            <v>114.61</v>
          </cell>
          <cell r="BJ229">
            <v>250.3</v>
          </cell>
          <cell r="BK229">
            <v>128.09</v>
          </cell>
          <cell r="BL229">
            <v>576.95000000000005</v>
          </cell>
          <cell r="BM229">
            <v>-689.7</v>
          </cell>
        </row>
        <row r="230">
          <cell r="A230" t="str">
            <v xml:space="preserve">FRANCISCO </v>
          </cell>
          <cell r="B230" t="str">
            <v>METAIS</v>
          </cell>
          <cell r="AY230">
            <v>134.30000000000001</v>
          </cell>
          <cell r="AZ230">
            <v>182.7</v>
          </cell>
          <cell r="BA230">
            <v>395.45</v>
          </cell>
          <cell r="BB230">
            <v>129.5</v>
          </cell>
          <cell r="BC230">
            <v>146.72999999999999</v>
          </cell>
          <cell r="BD230">
            <v>20</v>
          </cell>
          <cell r="BE230">
            <v>328.28</v>
          </cell>
          <cell r="BF230">
            <v>-196.7</v>
          </cell>
          <cell r="BG230">
            <v>267.83999999999997</v>
          </cell>
          <cell r="BH230">
            <v>17.899999999999999</v>
          </cell>
          <cell r="BI230">
            <v>99.8</v>
          </cell>
          <cell r="BJ230">
            <v>103.7</v>
          </cell>
          <cell r="BK230">
            <v>2245.8000000000002</v>
          </cell>
          <cell r="BL230">
            <v>0</v>
          </cell>
          <cell r="BM230">
            <v>264.05</v>
          </cell>
        </row>
        <row r="231">
          <cell r="A231" t="str">
            <v xml:space="preserve">FRANCISCO </v>
          </cell>
          <cell r="B231" t="str">
            <v>MOVEIS</v>
          </cell>
          <cell r="AY231">
            <v>345.5</v>
          </cell>
          <cell r="AZ231">
            <v>359</v>
          </cell>
          <cell r="BA231">
            <v>0</v>
          </cell>
          <cell r="BB231">
            <v>0</v>
          </cell>
          <cell r="BC231">
            <v>433.1</v>
          </cell>
          <cell r="BD231">
            <v>500</v>
          </cell>
          <cell r="BE231">
            <v>0</v>
          </cell>
          <cell r="BF231">
            <v>0</v>
          </cell>
          <cell r="BG231">
            <v>419.9</v>
          </cell>
          <cell r="BH231">
            <v>0</v>
          </cell>
          <cell r="BI231">
            <v>189.9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</row>
        <row r="232">
          <cell r="A232" t="str">
            <v xml:space="preserve">FRANCISCO </v>
          </cell>
          <cell r="B232" t="str">
            <v>PINTURA</v>
          </cell>
          <cell r="AY232">
            <v>200.46</v>
          </cell>
          <cell r="AZ232">
            <v>674.72</v>
          </cell>
          <cell r="BA232">
            <v>258.54000000000002</v>
          </cell>
          <cell r="BB232">
            <v>1159.8900000000001</v>
          </cell>
          <cell r="BC232">
            <v>468.37</v>
          </cell>
          <cell r="BD232">
            <v>498.3</v>
          </cell>
          <cell r="BE232">
            <v>535.23</v>
          </cell>
          <cell r="BF232">
            <v>864.01</v>
          </cell>
          <cell r="BG232">
            <v>842.65</v>
          </cell>
          <cell r="BH232">
            <v>739.3</v>
          </cell>
          <cell r="BI232">
            <v>330.36</v>
          </cell>
          <cell r="BJ232">
            <v>235.38</v>
          </cell>
          <cell r="BK232">
            <v>347.7</v>
          </cell>
          <cell r="BL232">
            <v>234.83</v>
          </cell>
          <cell r="BM232">
            <v>-32.08</v>
          </cell>
        </row>
        <row r="233">
          <cell r="A233" t="str">
            <v xml:space="preserve">FRANCISCO </v>
          </cell>
          <cell r="B233" t="str">
            <v>PISOS E REVESTIMENTOS</v>
          </cell>
          <cell r="AY233">
            <v>4411.84</v>
          </cell>
          <cell r="AZ233">
            <v>10976.45</v>
          </cell>
          <cell r="BA233">
            <v>3004.42</v>
          </cell>
          <cell r="BB233">
            <v>8165.91</v>
          </cell>
          <cell r="BC233">
            <v>441.38</v>
          </cell>
          <cell r="BD233">
            <v>4396.8900000000003</v>
          </cell>
          <cell r="BE233">
            <v>183.07</v>
          </cell>
          <cell r="BF233">
            <v>1143.1500000000001</v>
          </cell>
          <cell r="BG233">
            <v>3805.7</v>
          </cell>
          <cell r="BH233">
            <v>14149.55</v>
          </cell>
          <cell r="BI233">
            <v>636.9</v>
          </cell>
          <cell r="BJ233">
            <v>2818.58</v>
          </cell>
          <cell r="BK233">
            <v>1540.23</v>
          </cell>
          <cell r="BL233">
            <v>1925.14</v>
          </cell>
          <cell r="BM233">
            <v>2126.4299999999998</v>
          </cell>
        </row>
        <row r="234">
          <cell r="A234" t="str">
            <v xml:space="preserve">FRANCISCO </v>
          </cell>
          <cell r="B234" t="str">
            <v>PRATELEIRA  *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</row>
        <row r="235">
          <cell r="A235" t="str">
            <v xml:space="preserve">FRANCISCO </v>
          </cell>
          <cell r="B235" t="str">
            <v>ULTILIDADES DOMESTICAS  *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390.7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</row>
        <row r="236">
          <cell r="A236" t="str">
            <v xml:space="preserve">FRANCISCO </v>
          </cell>
          <cell r="B236" t="str">
            <v>zFERRAMENTAS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</row>
        <row r="237">
          <cell r="A237" t="str">
            <v xml:space="preserve">FRANCISCO </v>
          </cell>
          <cell r="B237" t="str">
            <v>zMATERIAIS BASICOS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</row>
        <row r="238">
          <cell r="A238" t="str">
            <v xml:space="preserve">FRANCISCO </v>
          </cell>
          <cell r="B238" t="str">
            <v>zPARAFUSOS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</row>
        <row r="241">
          <cell r="A241" t="str">
            <v>LUCIMARA</v>
          </cell>
          <cell r="B241" t="str">
            <v>ACABAMENTO  **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</row>
        <row r="242">
          <cell r="A242" t="str">
            <v>LUCIMARA</v>
          </cell>
          <cell r="B242" t="str">
            <v>COBERTURA</v>
          </cell>
          <cell r="AY242">
            <v>73.3</v>
          </cell>
          <cell r="AZ242">
            <v>351</v>
          </cell>
          <cell r="BA242">
            <v>0</v>
          </cell>
          <cell r="BB242">
            <v>17.899999999999999</v>
          </cell>
          <cell r="BC242">
            <v>96.78</v>
          </cell>
          <cell r="BD242">
            <v>0</v>
          </cell>
          <cell r="BE242">
            <v>0</v>
          </cell>
          <cell r="BF242">
            <v>733.63</v>
          </cell>
          <cell r="BG242">
            <v>222.22</v>
          </cell>
          <cell r="BH242">
            <v>31.5</v>
          </cell>
          <cell r="BI242">
            <v>55.9</v>
          </cell>
          <cell r="BJ242">
            <v>278.66000000000003</v>
          </cell>
          <cell r="BK242">
            <v>247.5</v>
          </cell>
          <cell r="BL242">
            <v>78.8</v>
          </cell>
          <cell r="BM242">
            <v>0</v>
          </cell>
        </row>
        <row r="243">
          <cell r="A243" t="str">
            <v>LUCIMARA</v>
          </cell>
          <cell r="B243" t="str">
            <v>ELETRICA     **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</row>
        <row r="244">
          <cell r="A244" t="str">
            <v>LUCIMARA</v>
          </cell>
          <cell r="B244" t="str">
            <v>ELETRODOMESTICOS   **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</row>
        <row r="245">
          <cell r="A245" t="str">
            <v>LUCIMARA</v>
          </cell>
          <cell r="B245" t="str">
            <v>ESQUADRIAS</v>
          </cell>
          <cell r="AY245">
            <v>0</v>
          </cell>
          <cell r="AZ245">
            <v>59.9</v>
          </cell>
          <cell r="BA245">
            <v>0</v>
          </cell>
          <cell r="BB245">
            <v>0</v>
          </cell>
          <cell r="BC245">
            <v>116.8</v>
          </cell>
          <cell r="BD245">
            <v>0</v>
          </cell>
          <cell r="BE245">
            <v>165.85</v>
          </cell>
          <cell r="BF245">
            <v>698.8</v>
          </cell>
          <cell r="BG245">
            <v>5.6</v>
          </cell>
          <cell r="BH245">
            <v>0</v>
          </cell>
          <cell r="BI245">
            <v>138</v>
          </cell>
          <cell r="BJ245">
            <v>77.900000000000006</v>
          </cell>
          <cell r="BK245">
            <v>5.3</v>
          </cell>
          <cell r="BL245">
            <v>105.99</v>
          </cell>
          <cell r="BM245">
            <v>0</v>
          </cell>
        </row>
        <row r="246">
          <cell r="A246" t="str">
            <v>LUCIMARA</v>
          </cell>
          <cell r="B246" t="str">
            <v>FERRAGENS</v>
          </cell>
          <cell r="AY246">
            <v>476.11</v>
          </cell>
          <cell r="AZ246">
            <v>435.5</v>
          </cell>
          <cell r="BA246">
            <v>354.77</v>
          </cell>
          <cell r="BB246">
            <v>903.21</v>
          </cell>
          <cell r="BC246">
            <v>583.41999999999996</v>
          </cell>
          <cell r="BD246">
            <v>458.15</v>
          </cell>
          <cell r="BE246">
            <v>869.28</v>
          </cell>
          <cell r="BF246">
            <v>956.81</v>
          </cell>
          <cell r="BG246">
            <v>1506.78</v>
          </cell>
          <cell r="BH246">
            <v>156.12</v>
          </cell>
          <cell r="BI246">
            <v>895.67</v>
          </cell>
          <cell r="BJ246">
            <v>537.65</v>
          </cell>
          <cell r="BK246">
            <v>449.41</v>
          </cell>
          <cell r="BL246">
            <v>480.72</v>
          </cell>
          <cell r="BM246">
            <v>760.47</v>
          </cell>
        </row>
        <row r="247">
          <cell r="A247" t="str">
            <v>LUCIMARA</v>
          </cell>
          <cell r="B247" t="str">
            <v>FERRAMENTAS</v>
          </cell>
          <cell r="AY247">
            <v>903.12</v>
          </cell>
          <cell r="AZ247">
            <v>1099.3</v>
          </cell>
          <cell r="BA247">
            <v>460.29</v>
          </cell>
          <cell r="BB247">
            <v>772.7</v>
          </cell>
          <cell r="BC247">
            <v>1085.33</v>
          </cell>
          <cell r="BD247">
            <v>625.69000000000005</v>
          </cell>
          <cell r="BE247">
            <v>1388.12</v>
          </cell>
          <cell r="BF247">
            <v>1923.48</v>
          </cell>
          <cell r="BG247">
            <v>2818.33</v>
          </cell>
          <cell r="BH247">
            <v>920.91</v>
          </cell>
          <cell r="BI247">
            <v>184.95</v>
          </cell>
          <cell r="BJ247">
            <v>1079.31</v>
          </cell>
          <cell r="BK247">
            <v>1131.74</v>
          </cell>
          <cell r="BL247">
            <v>346.28</v>
          </cell>
          <cell r="BM247">
            <v>788.83</v>
          </cell>
        </row>
        <row r="248">
          <cell r="A248" t="str">
            <v>LUCIMARA</v>
          </cell>
          <cell r="B248" t="str">
            <v>HIDRAULICAS</v>
          </cell>
          <cell r="AY248">
            <v>987.98</v>
          </cell>
          <cell r="AZ248">
            <v>823.12</v>
          </cell>
          <cell r="BA248">
            <v>222.32</v>
          </cell>
          <cell r="BB248">
            <v>511.05</v>
          </cell>
          <cell r="BC248">
            <v>355.47</v>
          </cell>
          <cell r="BD248">
            <v>1077.32</v>
          </cell>
          <cell r="BE248">
            <v>954.91</v>
          </cell>
          <cell r="BF248">
            <v>1175.52</v>
          </cell>
          <cell r="BG248">
            <v>1974.14</v>
          </cell>
          <cell r="BH248">
            <v>1047.55</v>
          </cell>
          <cell r="BI248">
            <v>206.41</v>
          </cell>
          <cell r="BJ248">
            <v>948.96</v>
          </cell>
          <cell r="BK248">
            <v>989.68</v>
          </cell>
          <cell r="BL248">
            <v>580.64</v>
          </cell>
          <cell r="BM248">
            <v>1467.78</v>
          </cell>
        </row>
        <row r="249">
          <cell r="A249" t="str">
            <v>LUCIMARA</v>
          </cell>
          <cell r="B249" t="str">
            <v>ILUMINAÇÃO</v>
          </cell>
          <cell r="AY249">
            <v>23.05</v>
          </cell>
          <cell r="AZ249">
            <v>0</v>
          </cell>
          <cell r="BA249">
            <v>34.75</v>
          </cell>
          <cell r="BB249">
            <v>10.95</v>
          </cell>
          <cell r="BC249">
            <v>152.75</v>
          </cell>
          <cell r="BD249">
            <v>148.30000000000001</v>
          </cell>
          <cell r="BE249">
            <v>97.8</v>
          </cell>
          <cell r="BF249">
            <v>189.5</v>
          </cell>
          <cell r="BG249">
            <v>342.1</v>
          </cell>
          <cell r="BH249">
            <v>39.799999999999997</v>
          </cell>
          <cell r="BI249">
            <v>40.75</v>
          </cell>
          <cell r="BJ249">
            <v>34.75</v>
          </cell>
          <cell r="BK249">
            <v>341.25</v>
          </cell>
          <cell r="BL249">
            <v>23.8</v>
          </cell>
          <cell r="BM249">
            <v>9.85</v>
          </cell>
        </row>
        <row r="250">
          <cell r="A250" t="str">
            <v>LUCIMARA</v>
          </cell>
          <cell r="B250" t="str">
            <v>JARDINAGEM   *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</row>
        <row r="251">
          <cell r="A251" t="str">
            <v>LUCIMARA</v>
          </cell>
          <cell r="B251" t="str">
            <v>LAZER</v>
          </cell>
          <cell r="AY251">
            <v>74.75</v>
          </cell>
          <cell r="AZ251">
            <v>201.7</v>
          </cell>
          <cell r="BA251">
            <v>345.8</v>
          </cell>
          <cell r="BB251">
            <v>124.35</v>
          </cell>
          <cell r="BC251">
            <v>236.16</v>
          </cell>
          <cell r="BD251">
            <v>43.8</v>
          </cell>
          <cell r="BE251">
            <v>46.4</v>
          </cell>
          <cell r="BF251">
            <v>39.65</v>
          </cell>
          <cell r="BG251">
            <v>372.85</v>
          </cell>
          <cell r="BH251">
            <v>206.65</v>
          </cell>
          <cell r="BI251">
            <v>70.3</v>
          </cell>
          <cell r="BJ251">
            <v>103.6</v>
          </cell>
          <cell r="BK251">
            <v>28.8</v>
          </cell>
          <cell r="BL251">
            <v>55.34</v>
          </cell>
          <cell r="BM251">
            <v>63.65</v>
          </cell>
        </row>
        <row r="252">
          <cell r="A252" t="str">
            <v>LUCIMARA</v>
          </cell>
          <cell r="B252" t="str">
            <v>LOUÇAS</v>
          </cell>
          <cell r="AY252">
            <v>0</v>
          </cell>
          <cell r="AZ252">
            <v>0</v>
          </cell>
          <cell r="BA252">
            <v>499.8</v>
          </cell>
          <cell r="BB252">
            <v>39.9</v>
          </cell>
          <cell r="BC252">
            <v>191.8</v>
          </cell>
          <cell r="BD252">
            <v>0</v>
          </cell>
          <cell r="BE252">
            <v>0</v>
          </cell>
          <cell r="BF252">
            <v>92.91</v>
          </cell>
          <cell r="BG252">
            <v>37.67</v>
          </cell>
          <cell r="BH252">
            <v>48.9</v>
          </cell>
          <cell r="BI252">
            <v>0</v>
          </cell>
          <cell r="BJ252">
            <v>0</v>
          </cell>
          <cell r="BK252">
            <v>75.900000000000006</v>
          </cell>
          <cell r="BL252">
            <v>0</v>
          </cell>
          <cell r="BM252">
            <v>0</v>
          </cell>
        </row>
        <row r="253">
          <cell r="A253" t="str">
            <v>LUCIMARA</v>
          </cell>
          <cell r="B253" t="str">
            <v>MATERIAIS BÁSICOS</v>
          </cell>
          <cell r="AY253">
            <v>1008.44</v>
          </cell>
          <cell r="AZ253">
            <v>1767.78</v>
          </cell>
          <cell r="BA253">
            <v>1122.8499999999999</v>
          </cell>
          <cell r="BB253">
            <v>2193.41</v>
          </cell>
          <cell r="BC253">
            <v>1981.74</v>
          </cell>
          <cell r="BD253">
            <v>2380.6</v>
          </cell>
          <cell r="BE253">
            <v>1895.45</v>
          </cell>
          <cell r="BF253">
            <v>589.48</v>
          </cell>
          <cell r="BG253">
            <v>7363.46</v>
          </cell>
          <cell r="BH253">
            <v>432.1</v>
          </cell>
          <cell r="BI253">
            <v>140.75</v>
          </cell>
          <cell r="BJ253">
            <v>216</v>
          </cell>
          <cell r="BK253">
            <v>1212.5</v>
          </cell>
          <cell r="BL253">
            <v>299.39999999999998</v>
          </cell>
          <cell r="BM253">
            <v>313.89999999999998</v>
          </cell>
        </row>
        <row r="254">
          <cell r="A254" t="str">
            <v>LUCIMARA</v>
          </cell>
          <cell r="B254" t="str">
            <v>MATERIAIS ELETRICOS</v>
          </cell>
          <cell r="AY254">
            <v>112.22</v>
          </cell>
          <cell r="AZ254">
            <v>327.8</v>
          </cell>
          <cell r="BA254">
            <v>640.24</v>
          </cell>
          <cell r="BB254">
            <v>164.52</v>
          </cell>
          <cell r="BC254">
            <v>1017.24</v>
          </cell>
          <cell r="BD254">
            <v>835.36</v>
          </cell>
          <cell r="BE254">
            <v>4311.1499999999996</v>
          </cell>
          <cell r="BF254">
            <v>1078.95</v>
          </cell>
          <cell r="BG254">
            <v>1847.62</v>
          </cell>
          <cell r="BH254">
            <v>333.65</v>
          </cell>
          <cell r="BI254">
            <v>265.94</v>
          </cell>
          <cell r="BJ254">
            <v>1177.54</v>
          </cell>
          <cell r="BK254">
            <v>1217.27</v>
          </cell>
          <cell r="BL254">
            <v>204.1</v>
          </cell>
          <cell r="BM254">
            <v>1196.1300000000001</v>
          </cell>
        </row>
        <row r="255">
          <cell r="A255" t="str">
            <v>LUCIMARA</v>
          </cell>
          <cell r="B255" t="str">
            <v>METAIS</v>
          </cell>
          <cell r="AY255">
            <v>146.65</v>
          </cell>
          <cell r="AZ255">
            <v>113.65</v>
          </cell>
          <cell r="BA255">
            <v>157.69999999999999</v>
          </cell>
          <cell r="BB255">
            <v>219.17</v>
          </cell>
          <cell r="BC255">
            <v>140.9</v>
          </cell>
          <cell r="BD255">
            <v>0</v>
          </cell>
          <cell r="BE255">
            <v>419.45</v>
          </cell>
          <cell r="BF255">
            <v>676.35</v>
          </cell>
          <cell r="BG255">
            <v>274.39999999999998</v>
          </cell>
          <cell r="BH255">
            <v>126.45</v>
          </cell>
          <cell r="BI255">
            <v>274</v>
          </cell>
          <cell r="BJ255">
            <v>444.1</v>
          </cell>
          <cell r="BK255">
            <v>169.1</v>
          </cell>
          <cell r="BL255">
            <v>57.4</v>
          </cell>
          <cell r="BM255">
            <v>222.95</v>
          </cell>
        </row>
        <row r="256">
          <cell r="A256" t="str">
            <v>LUCIMARA</v>
          </cell>
          <cell r="B256" t="str">
            <v>MOVEIS</v>
          </cell>
          <cell r="AY256">
            <v>0</v>
          </cell>
          <cell r="AZ256">
            <v>0</v>
          </cell>
          <cell r="BA256">
            <v>199.9</v>
          </cell>
          <cell r="BB256">
            <v>0</v>
          </cell>
          <cell r="BC256">
            <v>47.95</v>
          </cell>
          <cell r="BD256">
            <v>569.79999999999995</v>
          </cell>
          <cell r="BE256">
            <v>874.9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</row>
        <row r="257">
          <cell r="A257" t="str">
            <v>LUCIMARA</v>
          </cell>
          <cell r="B257" t="str">
            <v>PINTURA</v>
          </cell>
          <cell r="AY257">
            <v>137.44999999999999</v>
          </cell>
          <cell r="AZ257">
            <v>413.6</v>
          </cell>
          <cell r="BA257">
            <v>1.3</v>
          </cell>
          <cell r="BB257">
            <v>539.1</v>
          </cell>
          <cell r="BC257">
            <v>1070.0999999999999</v>
          </cell>
          <cell r="BD257">
            <v>288.99</v>
          </cell>
          <cell r="BE257">
            <v>536.20000000000005</v>
          </cell>
          <cell r="BF257">
            <v>638.85</v>
          </cell>
          <cell r="BG257">
            <v>2243.62</v>
          </cell>
          <cell r="BH257">
            <v>707.6</v>
          </cell>
          <cell r="BI257">
            <v>219.41</v>
          </cell>
          <cell r="BJ257">
            <v>495.6</v>
          </cell>
          <cell r="BK257">
            <v>332.2</v>
          </cell>
          <cell r="BL257">
            <v>479.45</v>
          </cell>
          <cell r="BM257">
            <v>173.35</v>
          </cell>
        </row>
        <row r="258">
          <cell r="A258" t="str">
            <v>LUCIMARA</v>
          </cell>
          <cell r="B258" t="str">
            <v>PISOS E REVESTIMENTOS</v>
          </cell>
          <cell r="AY258">
            <v>466.25</v>
          </cell>
          <cell r="AZ258">
            <v>186.7</v>
          </cell>
          <cell r="BA258">
            <v>351.84</v>
          </cell>
          <cell r="BB258">
            <v>574.65</v>
          </cell>
          <cell r="BC258">
            <v>424.41</v>
          </cell>
          <cell r="BD258">
            <v>317.82</v>
          </cell>
          <cell r="BE258">
            <v>520</v>
          </cell>
          <cell r="BF258">
            <v>1017.3</v>
          </cell>
          <cell r="BG258">
            <v>1144.4100000000001</v>
          </cell>
          <cell r="BH258">
            <v>421</v>
          </cell>
          <cell r="BI258">
            <v>70.8</v>
          </cell>
          <cell r="BJ258">
            <v>1442</v>
          </cell>
          <cell r="BK258">
            <v>282.8</v>
          </cell>
          <cell r="BL258">
            <v>576.54999999999995</v>
          </cell>
          <cell r="BM258">
            <v>129.4</v>
          </cell>
        </row>
        <row r="259">
          <cell r="A259" t="str">
            <v>LUCIMARA</v>
          </cell>
          <cell r="B259" t="str">
            <v>PRATELEIRA  *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</row>
        <row r="260">
          <cell r="A260" t="str">
            <v>LUCIMARA</v>
          </cell>
          <cell r="B260" t="str">
            <v>ULTILIDADES DOMESTICAS  *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</row>
        <row r="261">
          <cell r="A261" t="str">
            <v>LUCIMARA</v>
          </cell>
          <cell r="B261" t="str">
            <v>zFERRAMENTAS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</row>
        <row r="262">
          <cell r="A262" t="str">
            <v>LUCIMARA</v>
          </cell>
          <cell r="B262" t="str">
            <v>zMATERIAIS BASICOS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</row>
        <row r="263">
          <cell r="A263" t="str">
            <v>LUCIMARA</v>
          </cell>
          <cell r="B263" t="str">
            <v>zPARAFUSOS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</row>
        <row r="266">
          <cell r="A266" t="str">
            <v>JHOYCE</v>
          </cell>
          <cell r="B266" t="str">
            <v>ACABAMENTO  **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</row>
        <row r="267">
          <cell r="A267" t="str">
            <v>JHOYCE</v>
          </cell>
          <cell r="B267" t="str">
            <v>COBERTURA</v>
          </cell>
          <cell r="AY267">
            <v>5169.8100000000004</v>
          </cell>
          <cell r="AZ267">
            <v>10401.219999999999</v>
          </cell>
          <cell r="BA267">
            <v>10178.6</v>
          </cell>
          <cell r="BB267">
            <v>2057.4899999999998</v>
          </cell>
          <cell r="BC267">
            <v>1586.16</v>
          </cell>
          <cell r="BD267">
            <v>2752.49</v>
          </cell>
          <cell r="BE267">
            <v>3892</v>
          </cell>
          <cell r="BF267">
            <v>4046.98</v>
          </cell>
          <cell r="BG267">
            <v>7886.53</v>
          </cell>
          <cell r="BH267">
            <v>1059.5</v>
          </cell>
          <cell r="BI267">
            <v>5379.19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</row>
        <row r="268">
          <cell r="A268" t="str">
            <v>JHOYCE</v>
          </cell>
          <cell r="B268" t="str">
            <v>ELETRICA     **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</row>
        <row r="269">
          <cell r="A269" t="str">
            <v>JHOYCE</v>
          </cell>
          <cell r="B269" t="str">
            <v>ELETRODOMESTICOS   **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</row>
        <row r="270">
          <cell r="A270" t="str">
            <v>JHOYCE</v>
          </cell>
          <cell r="B270" t="str">
            <v>ESQUADRIAS</v>
          </cell>
          <cell r="AY270">
            <v>1627.87</v>
          </cell>
          <cell r="AZ270">
            <v>1364.9</v>
          </cell>
          <cell r="BA270">
            <v>2160.29</v>
          </cell>
          <cell r="BB270">
            <v>2304.65</v>
          </cell>
          <cell r="BC270">
            <v>1045.6400000000001</v>
          </cell>
          <cell r="BD270">
            <v>1100.75</v>
          </cell>
          <cell r="BE270">
            <v>1072.52</v>
          </cell>
          <cell r="BF270">
            <v>3415.7</v>
          </cell>
          <cell r="BG270">
            <v>1618</v>
          </cell>
          <cell r="BH270">
            <v>5108.71</v>
          </cell>
          <cell r="BI270">
            <v>1198.55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</row>
        <row r="271">
          <cell r="A271" t="str">
            <v>JHOYCE</v>
          </cell>
          <cell r="B271" t="str">
            <v>FERRAGENS</v>
          </cell>
          <cell r="AY271">
            <v>2399.4899999999998</v>
          </cell>
          <cell r="AZ271">
            <v>3017.91</v>
          </cell>
          <cell r="BA271">
            <v>2841.68</v>
          </cell>
          <cell r="BB271">
            <v>2113.31</v>
          </cell>
          <cell r="BC271">
            <v>2282.69</v>
          </cell>
          <cell r="BD271">
            <v>5183.3</v>
          </cell>
          <cell r="BE271">
            <v>2795.06</v>
          </cell>
          <cell r="BF271">
            <v>3804.44</v>
          </cell>
          <cell r="BG271">
            <v>3947.99</v>
          </cell>
          <cell r="BH271">
            <v>2609.5300000000002</v>
          </cell>
          <cell r="BI271">
            <v>2676.21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</row>
        <row r="272">
          <cell r="A272" t="str">
            <v>JHOYCE</v>
          </cell>
          <cell r="B272" t="str">
            <v>FERRAMENTAS</v>
          </cell>
          <cell r="AY272">
            <v>3710.41</v>
          </cell>
          <cell r="AZ272">
            <v>3766.68</v>
          </cell>
          <cell r="BA272">
            <v>4924.8900000000003</v>
          </cell>
          <cell r="BB272">
            <v>1907.79</v>
          </cell>
          <cell r="BC272">
            <v>3855.31</v>
          </cell>
          <cell r="BD272">
            <v>3939.55</v>
          </cell>
          <cell r="BE272">
            <v>3919.62</v>
          </cell>
          <cell r="BF272">
            <v>3208.27</v>
          </cell>
          <cell r="BG272">
            <v>6988.36</v>
          </cell>
          <cell r="BH272">
            <v>2785.18</v>
          </cell>
          <cell r="BI272">
            <v>2895.02</v>
          </cell>
          <cell r="BJ272">
            <v>0.11</v>
          </cell>
          <cell r="BK272">
            <v>0.01</v>
          </cell>
          <cell r="BL272">
            <v>0.01</v>
          </cell>
          <cell r="BM272">
            <v>0.01</v>
          </cell>
        </row>
        <row r="273">
          <cell r="A273" t="str">
            <v>JHOYCE</v>
          </cell>
          <cell r="B273" t="str">
            <v>HIDRAULICAS</v>
          </cell>
          <cell r="AY273">
            <v>5816.2</v>
          </cell>
          <cell r="AZ273">
            <v>6334.17</v>
          </cell>
          <cell r="BA273">
            <v>9649.0400000000009</v>
          </cell>
          <cell r="BB273">
            <v>2683.08</v>
          </cell>
          <cell r="BC273">
            <v>8826.2099999999991</v>
          </cell>
          <cell r="BD273">
            <v>11295.01</v>
          </cell>
          <cell r="BE273">
            <v>9937.15</v>
          </cell>
          <cell r="BF273">
            <v>19636.88</v>
          </cell>
          <cell r="BG273">
            <v>19127.14</v>
          </cell>
          <cell r="BH273">
            <v>7823.67</v>
          </cell>
          <cell r="BI273">
            <v>4930.95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</row>
        <row r="274">
          <cell r="A274" t="str">
            <v>JHOYCE</v>
          </cell>
          <cell r="B274" t="str">
            <v>ILUMINAÇÃO</v>
          </cell>
          <cell r="AY274">
            <v>520.26</v>
          </cell>
          <cell r="AZ274">
            <v>354.45</v>
          </cell>
          <cell r="BA274">
            <v>430.3</v>
          </cell>
          <cell r="BB274">
            <v>283.55</v>
          </cell>
          <cell r="BC274">
            <v>660.33</v>
          </cell>
          <cell r="BD274">
            <v>678.4</v>
          </cell>
          <cell r="BE274">
            <v>859.56</v>
          </cell>
          <cell r="BF274">
            <v>628.45000000000005</v>
          </cell>
          <cell r="BG274">
            <v>350.92</v>
          </cell>
          <cell r="BH274">
            <v>651.6</v>
          </cell>
          <cell r="BI274">
            <v>445.87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</row>
        <row r="275">
          <cell r="A275" t="str">
            <v>JHOYCE</v>
          </cell>
          <cell r="B275" t="str">
            <v>JARDINAGEM   *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</row>
        <row r="276">
          <cell r="A276" t="str">
            <v>JHOYCE</v>
          </cell>
          <cell r="B276" t="str">
            <v>LAZER</v>
          </cell>
          <cell r="AY276">
            <v>1858.69</v>
          </cell>
          <cell r="AZ276">
            <v>807.25</v>
          </cell>
          <cell r="BA276">
            <v>1543.64</v>
          </cell>
          <cell r="BB276">
            <v>1321.62</v>
          </cell>
          <cell r="BC276">
            <v>1741.07</v>
          </cell>
          <cell r="BD276">
            <v>1652.42</v>
          </cell>
          <cell r="BE276">
            <v>677.8</v>
          </cell>
          <cell r="BF276">
            <v>3082.93</v>
          </cell>
          <cell r="BG276">
            <v>2272.7600000000002</v>
          </cell>
          <cell r="BH276">
            <v>2498.13</v>
          </cell>
          <cell r="BI276">
            <v>614.70000000000005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</row>
        <row r="277">
          <cell r="A277" t="str">
            <v>JHOYCE</v>
          </cell>
          <cell r="B277" t="str">
            <v>LOUÇAS</v>
          </cell>
          <cell r="AY277">
            <v>213.8</v>
          </cell>
          <cell r="AZ277">
            <v>1008.6</v>
          </cell>
          <cell r="BA277">
            <v>1571.47</v>
          </cell>
          <cell r="BB277">
            <v>33.9</v>
          </cell>
          <cell r="BC277">
            <v>2348.4</v>
          </cell>
          <cell r="BD277">
            <v>1838.5</v>
          </cell>
          <cell r="BE277">
            <v>672.55</v>
          </cell>
          <cell r="BF277">
            <v>789.27</v>
          </cell>
          <cell r="BG277">
            <v>1542.55</v>
          </cell>
          <cell r="BH277">
            <v>2345.5</v>
          </cell>
          <cell r="BI277">
            <v>691.6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</row>
        <row r="278">
          <cell r="A278" t="str">
            <v>JHOYCE</v>
          </cell>
          <cell r="B278" t="str">
            <v>MATERIAIS BÁSICOS</v>
          </cell>
          <cell r="AY278">
            <v>12770.79</v>
          </cell>
          <cell r="AZ278">
            <v>21318.67</v>
          </cell>
          <cell r="BA278">
            <v>23831.52</v>
          </cell>
          <cell r="BB278">
            <v>27324.59</v>
          </cell>
          <cell r="BC278">
            <v>30994.92</v>
          </cell>
          <cell r="BD278">
            <v>26784.38</v>
          </cell>
          <cell r="BE278">
            <v>39990.769999999997</v>
          </cell>
          <cell r="BF278">
            <v>28880.13</v>
          </cell>
          <cell r="BG278">
            <v>48566.73</v>
          </cell>
          <cell r="BH278">
            <v>32539.48</v>
          </cell>
          <cell r="BI278">
            <v>16319.02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</row>
        <row r="279">
          <cell r="A279" t="str">
            <v>JHOYCE</v>
          </cell>
          <cell r="B279" t="str">
            <v>MATERIAIS ELETRICOS</v>
          </cell>
          <cell r="AY279">
            <v>1572.42</v>
          </cell>
          <cell r="AZ279">
            <v>4625.1400000000003</v>
          </cell>
          <cell r="BA279">
            <v>3764.7</v>
          </cell>
          <cell r="BB279">
            <v>2945.2</v>
          </cell>
          <cell r="BC279">
            <v>11448.28</v>
          </cell>
          <cell r="BD279">
            <v>6664.72</v>
          </cell>
          <cell r="BE279">
            <v>5423.9</v>
          </cell>
          <cell r="BF279">
            <v>4635.07</v>
          </cell>
          <cell r="BG279">
            <v>5166.5600000000004</v>
          </cell>
          <cell r="BH279">
            <v>4119.01</v>
          </cell>
          <cell r="BI279">
            <v>2624.19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</row>
        <row r="280">
          <cell r="A280" t="str">
            <v>JHOYCE</v>
          </cell>
          <cell r="B280" t="str">
            <v>METAIS</v>
          </cell>
          <cell r="AY280">
            <v>1040.8399999999999</v>
          </cell>
          <cell r="AZ280">
            <v>832.45</v>
          </cell>
          <cell r="BA280">
            <v>1329.26</v>
          </cell>
          <cell r="BB280">
            <v>699.16</v>
          </cell>
          <cell r="BC280">
            <v>1592.1</v>
          </cell>
          <cell r="BD280">
            <v>2761.69</v>
          </cell>
          <cell r="BE280">
            <v>1992.03</v>
          </cell>
          <cell r="BF280">
            <v>4038.84</v>
          </cell>
          <cell r="BG280">
            <v>3409.41</v>
          </cell>
          <cell r="BH280">
            <v>1669.1</v>
          </cell>
          <cell r="BI280">
            <v>1167.97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</row>
        <row r="281">
          <cell r="A281" t="str">
            <v>JHOYCE</v>
          </cell>
          <cell r="B281" t="str">
            <v>MOVEIS</v>
          </cell>
          <cell r="AY281">
            <v>0</v>
          </cell>
          <cell r="AZ281">
            <v>179.3</v>
          </cell>
          <cell r="BA281">
            <v>3866.75</v>
          </cell>
          <cell r="BB281">
            <v>247.8</v>
          </cell>
          <cell r="BC281">
            <v>2499.5</v>
          </cell>
          <cell r="BD281">
            <v>0</v>
          </cell>
          <cell r="BE281">
            <v>923.7</v>
          </cell>
          <cell r="BF281">
            <v>3940.24</v>
          </cell>
          <cell r="BG281">
            <v>920</v>
          </cell>
          <cell r="BH281">
            <v>1529.5</v>
          </cell>
          <cell r="BI281">
            <v>225.8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</row>
        <row r="282">
          <cell r="A282" t="str">
            <v>JHOYCE</v>
          </cell>
          <cell r="B282" t="str">
            <v>PINTURA</v>
          </cell>
          <cell r="AY282">
            <v>2296.6999999999998</v>
          </cell>
          <cell r="AZ282">
            <v>1615.95</v>
          </cell>
          <cell r="BA282">
            <v>1582.81</v>
          </cell>
          <cell r="BB282">
            <v>3841.65</v>
          </cell>
          <cell r="BC282">
            <v>2922.52</v>
          </cell>
          <cell r="BD282">
            <v>2410.14</v>
          </cell>
          <cell r="BE282">
            <v>3603.59</v>
          </cell>
          <cell r="BF282">
            <v>2536.41</v>
          </cell>
          <cell r="BG282">
            <v>3643.05</v>
          </cell>
          <cell r="BH282">
            <v>3982.07</v>
          </cell>
          <cell r="BI282">
            <v>2585.54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</row>
        <row r="283">
          <cell r="A283" t="str">
            <v>JHOYCE</v>
          </cell>
          <cell r="B283" t="str">
            <v>PISOS E REVESTIMENTOS</v>
          </cell>
          <cell r="AY283">
            <v>3954.18</v>
          </cell>
          <cell r="AZ283">
            <v>8138.87</v>
          </cell>
          <cell r="BA283">
            <v>12853.24</v>
          </cell>
          <cell r="BB283">
            <v>21787.11</v>
          </cell>
          <cell r="BC283">
            <v>8871.6299999999992</v>
          </cell>
          <cell r="BD283">
            <v>9115.1299999999992</v>
          </cell>
          <cell r="BE283">
            <v>4950.45</v>
          </cell>
          <cell r="BF283">
            <v>8751.5300000000007</v>
          </cell>
          <cell r="BG283">
            <v>7639.87</v>
          </cell>
          <cell r="BH283">
            <v>4500.17</v>
          </cell>
          <cell r="BI283">
            <v>4302.37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</row>
        <row r="284">
          <cell r="A284" t="str">
            <v>JHOYCE</v>
          </cell>
          <cell r="B284" t="str">
            <v>PRATELEIRA  *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</row>
        <row r="285">
          <cell r="A285" t="str">
            <v>JHOYCE</v>
          </cell>
          <cell r="B285" t="str">
            <v>ULTILIDADES DOMESTICAS  *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</row>
        <row r="286">
          <cell r="A286" t="str">
            <v>JHOYCE</v>
          </cell>
          <cell r="B286" t="str">
            <v>zFERRAMENTAS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</row>
        <row r="287">
          <cell r="A287" t="str">
            <v>JHOYCE</v>
          </cell>
          <cell r="B287" t="str">
            <v>zMATERIAIS BASICOS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</row>
        <row r="288">
          <cell r="A288" t="str">
            <v>JHOYCE</v>
          </cell>
          <cell r="B288" t="str">
            <v>zPARAFUSOS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</row>
        <row r="291">
          <cell r="A291" t="str">
            <v>LUIZ FERNANDO</v>
          </cell>
          <cell r="B291" t="str">
            <v>ACABAMENTO  **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</row>
        <row r="292">
          <cell r="A292" t="str">
            <v>LUIZ FERNANDO</v>
          </cell>
          <cell r="B292" t="str">
            <v>COBERTURA</v>
          </cell>
          <cell r="AY292">
            <v>48893.46</v>
          </cell>
          <cell r="AZ292">
            <v>13028.85</v>
          </cell>
          <cell r="BA292">
            <v>14159.02</v>
          </cell>
          <cell r="BB292">
            <v>53955.23</v>
          </cell>
          <cell r="BC292">
            <v>31400.68</v>
          </cell>
          <cell r="BD292">
            <v>13295.03</v>
          </cell>
          <cell r="BE292">
            <v>18096.63</v>
          </cell>
          <cell r="BF292">
            <v>3786.38</v>
          </cell>
          <cell r="BG292">
            <v>0</v>
          </cell>
          <cell r="BH292">
            <v>35516.050000000003</v>
          </cell>
          <cell r="BI292">
            <v>15390.63</v>
          </cell>
          <cell r="BJ292">
            <v>15444.19</v>
          </cell>
          <cell r="BK292">
            <v>10911.5</v>
          </cell>
          <cell r="BL292">
            <v>24871.29</v>
          </cell>
          <cell r="BM292">
            <v>13513.36</v>
          </cell>
        </row>
        <row r="293">
          <cell r="A293" t="str">
            <v>LUIZ FERNANDO</v>
          </cell>
          <cell r="B293" t="str">
            <v>ELETRICA     **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</row>
        <row r="294">
          <cell r="A294" t="str">
            <v>LUIZ FERNANDO</v>
          </cell>
          <cell r="B294" t="str">
            <v>ELETRODOMESTICOS   **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</row>
        <row r="295">
          <cell r="A295" t="str">
            <v>LUIZ FERNANDO</v>
          </cell>
          <cell r="B295" t="str">
            <v>ESQUADRIAS</v>
          </cell>
          <cell r="AY295">
            <v>3567.73</v>
          </cell>
          <cell r="AZ295">
            <v>4927.34</v>
          </cell>
          <cell r="BA295">
            <v>3477.95</v>
          </cell>
          <cell r="BB295">
            <v>3384.8</v>
          </cell>
          <cell r="BC295">
            <v>11111.16</v>
          </cell>
          <cell r="BD295">
            <v>8402.94</v>
          </cell>
          <cell r="BE295">
            <v>5985.63</v>
          </cell>
          <cell r="BF295">
            <v>5056.59</v>
          </cell>
          <cell r="BG295">
            <v>0</v>
          </cell>
          <cell r="BH295">
            <v>1283.4000000000001</v>
          </cell>
          <cell r="BI295">
            <v>10241.9</v>
          </cell>
          <cell r="BJ295">
            <v>3644.55</v>
          </cell>
          <cell r="BK295">
            <v>9643.9500000000007</v>
          </cell>
          <cell r="BL295">
            <v>5789.04</v>
          </cell>
          <cell r="BM295">
            <v>2212.23</v>
          </cell>
        </row>
        <row r="296">
          <cell r="A296" t="str">
            <v>LUIZ FERNANDO</v>
          </cell>
          <cell r="B296" t="str">
            <v>FERRAGENS</v>
          </cell>
          <cell r="AY296">
            <v>8370.68</v>
          </cell>
          <cell r="AZ296">
            <v>9157.81</v>
          </cell>
          <cell r="BA296">
            <v>6394.43</v>
          </cell>
          <cell r="BB296">
            <v>6859.57</v>
          </cell>
          <cell r="BC296">
            <v>8693.2900000000009</v>
          </cell>
          <cell r="BD296">
            <v>7668.08</v>
          </cell>
          <cell r="BE296">
            <v>8446.0400000000009</v>
          </cell>
          <cell r="BF296">
            <v>7564.89</v>
          </cell>
          <cell r="BG296">
            <v>0</v>
          </cell>
          <cell r="BH296">
            <v>6205.77</v>
          </cell>
          <cell r="BI296">
            <v>4620.18</v>
          </cell>
          <cell r="BJ296">
            <v>5868.3</v>
          </cell>
          <cell r="BK296">
            <v>7099.57</v>
          </cell>
          <cell r="BL296">
            <v>9659.8799999999992</v>
          </cell>
          <cell r="BM296">
            <v>6416.32</v>
          </cell>
        </row>
        <row r="297">
          <cell r="A297" t="str">
            <v>LUIZ FERNANDO</v>
          </cell>
          <cell r="B297" t="str">
            <v>FERRAMENTAS</v>
          </cell>
          <cell r="AY297">
            <v>14553.51</v>
          </cell>
          <cell r="AZ297">
            <v>11590.34</v>
          </cell>
          <cell r="BA297">
            <v>8613.08</v>
          </cell>
          <cell r="BB297">
            <v>11696.46</v>
          </cell>
          <cell r="BC297">
            <v>10767.58</v>
          </cell>
          <cell r="BD297">
            <v>12445.65</v>
          </cell>
          <cell r="BE297">
            <v>11245.91</v>
          </cell>
          <cell r="BF297">
            <v>13498</v>
          </cell>
          <cell r="BG297">
            <v>0</v>
          </cell>
          <cell r="BH297">
            <v>8847.2199999999993</v>
          </cell>
          <cell r="BI297">
            <v>11763.15</v>
          </cell>
          <cell r="BJ297">
            <v>8407.7900000000009</v>
          </cell>
          <cell r="BK297">
            <v>10437.030000000001</v>
          </cell>
          <cell r="BL297">
            <v>9559.2900000000009</v>
          </cell>
          <cell r="BM297">
            <v>8433.17</v>
          </cell>
        </row>
        <row r="298">
          <cell r="A298" t="str">
            <v>LUIZ FERNANDO</v>
          </cell>
          <cell r="B298" t="str">
            <v>HIDRAULICAS</v>
          </cell>
          <cell r="AY298">
            <v>18004.82</v>
          </cell>
          <cell r="AZ298">
            <v>15569.25</v>
          </cell>
          <cell r="BA298">
            <v>14624.84</v>
          </cell>
          <cell r="BB298">
            <v>17838.78</v>
          </cell>
          <cell r="BC298">
            <v>32961.33</v>
          </cell>
          <cell r="BD298">
            <v>15890.76</v>
          </cell>
          <cell r="BE298">
            <v>31451.38</v>
          </cell>
          <cell r="BF298">
            <v>28835.200000000001</v>
          </cell>
          <cell r="BG298">
            <v>0</v>
          </cell>
          <cell r="BH298">
            <v>32554.07</v>
          </cell>
          <cell r="BI298">
            <v>29077.97</v>
          </cell>
          <cell r="BJ298">
            <v>21815.63</v>
          </cell>
          <cell r="BK298">
            <v>14032.28</v>
          </cell>
          <cell r="BL298">
            <v>15228.52</v>
          </cell>
          <cell r="BM298">
            <v>23252.57</v>
          </cell>
        </row>
        <row r="299">
          <cell r="A299" t="str">
            <v>LUIZ FERNANDO</v>
          </cell>
          <cell r="B299" t="str">
            <v>ILUMINAÇÃO</v>
          </cell>
          <cell r="AY299">
            <v>1135.94</v>
          </cell>
          <cell r="AZ299">
            <v>709.85</v>
          </cell>
          <cell r="BA299">
            <v>1182.75</v>
          </cell>
          <cell r="BB299">
            <v>1171.95</v>
          </cell>
          <cell r="BC299">
            <v>622.97</v>
          </cell>
          <cell r="BD299">
            <v>931.2</v>
          </cell>
          <cell r="BE299">
            <v>734.45</v>
          </cell>
          <cell r="BF299">
            <v>909.24</v>
          </cell>
          <cell r="BG299">
            <v>0</v>
          </cell>
          <cell r="BH299">
            <v>771.28</v>
          </cell>
          <cell r="BI299">
            <v>320.7</v>
          </cell>
          <cell r="BJ299">
            <v>1940.44</v>
          </cell>
          <cell r="BK299">
            <v>819.93</v>
          </cell>
          <cell r="BL299">
            <v>1144.96</v>
          </cell>
          <cell r="BM299">
            <v>1091</v>
          </cell>
        </row>
        <row r="300">
          <cell r="A300" t="str">
            <v>LUIZ FERNANDO</v>
          </cell>
          <cell r="B300" t="str">
            <v>JARDINAGEM   *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</row>
        <row r="301">
          <cell r="A301" t="str">
            <v>LUIZ FERNANDO</v>
          </cell>
          <cell r="B301" t="str">
            <v>LAZER</v>
          </cell>
          <cell r="AY301">
            <v>2679.1</v>
          </cell>
          <cell r="AZ301">
            <v>1019.25</v>
          </cell>
          <cell r="BA301">
            <v>2003.54</v>
          </cell>
          <cell r="BB301">
            <v>2237.35</v>
          </cell>
          <cell r="BC301">
            <v>7737.17</v>
          </cell>
          <cell r="BD301">
            <v>5818.5</v>
          </cell>
          <cell r="BE301">
            <v>8247.77</v>
          </cell>
          <cell r="BF301">
            <v>2218.5700000000002</v>
          </cell>
          <cell r="BG301">
            <v>529.9</v>
          </cell>
          <cell r="BH301">
            <v>4145.45</v>
          </cell>
          <cell r="BI301">
            <v>3402.9</v>
          </cell>
          <cell r="BJ301">
            <v>3196.53</v>
          </cell>
          <cell r="BK301">
            <v>1498.34</v>
          </cell>
          <cell r="BL301">
            <v>5219.09</v>
          </cell>
          <cell r="BM301">
            <v>1932.62</v>
          </cell>
        </row>
        <row r="302">
          <cell r="A302" t="str">
            <v>LUIZ FERNANDO</v>
          </cell>
          <cell r="B302" t="str">
            <v>LOUÇAS</v>
          </cell>
          <cell r="AY302">
            <v>79.900000000000006</v>
          </cell>
          <cell r="AZ302">
            <v>2531.83</v>
          </cell>
          <cell r="BA302">
            <v>919.84</v>
          </cell>
          <cell r="BB302">
            <v>2318.8200000000002</v>
          </cell>
          <cell r="BC302">
            <v>6434.6</v>
          </cell>
          <cell r="BD302">
            <v>2005.97</v>
          </cell>
          <cell r="BE302">
            <v>2166.9</v>
          </cell>
          <cell r="BF302">
            <v>3509.41</v>
          </cell>
          <cell r="BG302">
            <v>0</v>
          </cell>
          <cell r="BH302">
            <v>3495.1</v>
          </cell>
          <cell r="BI302">
            <v>1492.35</v>
          </cell>
          <cell r="BJ302">
            <v>6191.4</v>
          </cell>
          <cell r="BK302">
            <v>2807.35</v>
          </cell>
          <cell r="BL302">
            <v>3277.5</v>
          </cell>
          <cell r="BM302">
            <v>1065.5</v>
          </cell>
        </row>
        <row r="303">
          <cell r="A303" t="str">
            <v>LUIZ FERNANDO</v>
          </cell>
          <cell r="B303" t="str">
            <v>MATERIAIS BÁSICOS</v>
          </cell>
          <cell r="AY303">
            <v>142710.39000000001</v>
          </cell>
          <cell r="AZ303">
            <v>171501.33</v>
          </cell>
          <cell r="BA303">
            <v>132648.47</v>
          </cell>
          <cell r="BB303">
            <v>161829.14000000001</v>
          </cell>
          <cell r="BC303">
            <v>160149.95000000001</v>
          </cell>
          <cell r="BD303">
            <v>144463.59</v>
          </cell>
          <cell r="BE303">
            <v>225570.88</v>
          </cell>
          <cell r="BF303">
            <v>134303.79999999999</v>
          </cell>
          <cell r="BG303">
            <v>2502.5</v>
          </cell>
          <cell r="BH303">
            <v>146774.51999999999</v>
          </cell>
          <cell r="BI303">
            <v>135612.06</v>
          </cell>
          <cell r="BJ303">
            <v>143908.04999999999</v>
          </cell>
          <cell r="BK303">
            <v>153570.17000000001</v>
          </cell>
          <cell r="BL303">
            <v>109105.36</v>
          </cell>
          <cell r="BM303">
            <v>140533.95000000001</v>
          </cell>
        </row>
        <row r="304">
          <cell r="A304" t="str">
            <v>LUIZ FERNANDO</v>
          </cell>
          <cell r="B304" t="str">
            <v>MATERIAIS ELETRICOS</v>
          </cell>
          <cell r="AY304">
            <v>5453.24</v>
          </cell>
          <cell r="AZ304">
            <v>5480.29</v>
          </cell>
          <cell r="BA304">
            <v>10037.17</v>
          </cell>
          <cell r="BB304">
            <v>8063.41</v>
          </cell>
          <cell r="BC304">
            <v>19198.18</v>
          </cell>
          <cell r="BD304">
            <v>13898.66</v>
          </cell>
          <cell r="BE304">
            <v>15947.85</v>
          </cell>
          <cell r="BF304">
            <v>13217.86</v>
          </cell>
          <cell r="BG304">
            <v>0</v>
          </cell>
          <cell r="BH304">
            <v>8054.66</v>
          </cell>
          <cell r="BI304">
            <v>7753.96</v>
          </cell>
          <cell r="BJ304">
            <v>9372.2099999999991</v>
          </cell>
          <cell r="BK304">
            <v>11988.76</v>
          </cell>
          <cell r="BL304">
            <v>8645.2900000000009</v>
          </cell>
          <cell r="BM304">
            <v>11067.99</v>
          </cell>
        </row>
        <row r="305">
          <cell r="A305" t="str">
            <v>LUIZ FERNANDO</v>
          </cell>
          <cell r="B305" t="str">
            <v>METAIS</v>
          </cell>
          <cell r="AY305">
            <v>1689.92</v>
          </cell>
          <cell r="AZ305">
            <v>1974.53</v>
          </cell>
          <cell r="BA305">
            <v>1646.54</v>
          </cell>
          <cell r="BB305">
            <v>2650.5</v>
          </cell>
          <cell r="BC305">
            <v>3955.95</v>
          </cell>
          <cell r="BD305">
            <v>4757.8599999999997</v>
          </cell>
          <cell r="BE305">
            <v>2932.46</v>
          </cell>
          <cell r="BF305">
            <v>6640.11</v>
          </cell>
          <cell r="BG305">
            <v>0</v>
          </cell>
          <cell r="BH305">
            <v>3424.01</v>
          </cell>
          <cell r="BI305">
            <v>4964.97</v>
          </cell>
          <cell r="BJ305">
            <v>3729.1</v>
          </cell>
          <cell r="BK305">
            <v>3782.99</v>
          </cell>
          <cell r="BL305">
            <v>773.75</v>
          </cell>
          <cell r="BM305">
            <v>3159.05</v>
          </cell>
        </row>
        <row r="306">
          <cell r="A306" t="str">
            <v>LUIZ FERNANDO</v>
          </cell>
          <cell r="B306" t="str">
            <v>MOVEIS</v>
          </cell>
          <cell r="AY306">
            <v>206.18</v>
          </cell>
          <cell r="AZ306">
            <v>2844.7</v>
          </cell>
          <cell r="BA306">
            <v>2653.6</v>
          </cell>
          <cell r="BB306">
            <v>3560.35</v>
          </cell>
          <cell r="BC306">
            <v>9292</v>
          </cell>
          <cell r="BD306">
            <v>3745.7</v>
          </cell>
          <cell r="BE306">
            <v>2475.5</v>
          </cell>
          <cell r="BF306">
            <v>1348.2</v>
          </cell>
          <cell r="BG306">
            <v>0</v>
          </cell>
          <cell r="BH306">
            <v>2325.8000000000002</v>
          </cell>
          <cell r="BI306">
            <v>1746.3</v>
          </cell>
          <cell r="BJ306">
            <v>1599.48</v>
          </cell>
          <cell r="BK306">
            <v>2317.5500000000002</v>
          </cell>
          <cell r="BL306">
            <v>433</v>
          </cell>
          <cell r="BM306">
            <v>3080.3</v>
          </cell>
        </row>
        <row r="307">
          <cell r="A307" t="str">
            <v>LUIZ FERNANDO</v>
          </cell>
          <cell r="B307" t="str">
            <v>PINTURA</v>
          </cell>
          <cell r="AY307">
            <v>9190.4</v>
          </cell>
          <cell r="AZ307">
            <v>6296.35</v>
          </cell>
          <cell r="BA307">
            <v>8616.7999999999993</v>
          </cell>
          <cell r="BB307">
            <v>9568.64</v>
          </cell>
          <cell r="BC307">
            <v>9518.69</v>
          </cell>
          <cell r="BD307">
            <v>6415.56</v>
          </cell>
          <cell r="BE307">
            <v>9389.58</v>
          </cell>
          <cell r="BF307">
            <v>8599.2900000000009</v>
          </cell>
          <cell r="BG307">
            <v>0</v>
          </cell>
          <cell r="BH307">
            <v>7737.22</v>
          </cell>
          <cell r="BI307">
            <v>4836.0600000000004</v>
          </cell>
          <cell r="BJ307">
            <v>5977.3</v>
          </cell>
          <cell r="BK307">
            <v>8450.7999999999993</v>
          </cell>
          <cell r="BL307">
            <v>5292.88</v>
          </cell>
          <cell r="BM307">
            <v>6905.03</v>
          </cell>
        </row>
        <row r="308">
          <cell r="A308" t="str">
            <v>LUIZ FERNANDO</v>
          </cell>
          <cell r="B308" t="str">
            <v>PISOS E REVESTIMENTOS</v>
          </cell>
          <cell r="AY308">
            <v>22201.16</v>
          </cell>
          <cell r="AZ308">
            <v>15955.02</v>
          </cell>
          <cell r="BA308">
            <v>25969.05</v>
          </cell>
          <cell r="BB308">
            <v>21737.69</v>
          </cell>
          <cell r="BC308">
            <v>31786.2</v>
          </cell>
          <cell r="BD308">
            <v>19995.88</v>
          </cell>
          <cell r="BE308">
            <v>17436.71</v>
          </cell>
          <cell r="BF308">
            <v>17600.2</v>
          </cell>
          <cell r="BG308">
            <v>0</v>
          </cell>
          <cell r="BH308">
            <v>18116.63</v>
          </cell>
          <cell r="BI308">
            <v>46000.15</v>
          </cell>
          <cell r="BJ308">
            <v>22947.25</v>
          </cell>
          <cell r="BK308">
            <v>20216.419999999998</v>
          </cell>
          <cell r="BL308">
            <v>29215.86</v>
          </cell>
          <cell r="BM308">
            <v>30412.48</v>
          </cell>
        </row>
        <row r="309">
          <cell r="A309" t="str">
            <v>LUIZ FERNANDO</v>
          </cell>
          <cell r="B309" t="str">
            <v>PRATELEIRA  *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</row>
        <row r="310">
          <cell r="A310" t="str">
            <v>LUIZ FERNANDO</v>
          </cell>
          <cell r="B310" t="str">
            <v>ULTILIDADES DOMESTICAS  *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7.9</v>
          </cell>
        </row>
        <row r="311">
          <cell r="A311" t="str">
            <v>LUIZ FERNANDO</v>
          </cell>
          <cell r="B311" t="str">
            <v>zFERRAMENTAS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</row>
        <row r="312">
          <cell r="A312" t="str">
            <v>LUIZ FERNANDO</v>
          </cell>
          <cell r="B312" t="str">
            <v>zMATERIAIS BASICOS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</row>
        <row r="313">
          <cell r="A313" t="str">
            <v>LUIZ FERNANDO</v>
          </cell>
          <cell r="B313" t="str">
            <v>zPARAFUSOS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</row>
        <row r="316">
          <cell r="A316" t="str">
            <v xml:space="preserve">CHRISTIANE </v>
          </cell>
          <cell r="B316" t="str">
            <v>ACABAMENTO  **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</row>
        <row r="317">
          <cell r="A317" t="str">
            <v xml:space="preserve">CHRISTIANE </v>
          </cell>
          <cell r="B317" t="str">
            <v>COBERTURA</v>
          </cell>
          <cell r="AY317">
            <v>5861.14</v>
          </cell>
          <cell r="AZ317">
            <v>18120.689999999999</v>
          </cell>
          <cell r="BA317">
            <v>15513.73</v>
          </cell>
          <cell r="BB317">
            <v>26605.47</v>
          </cell>
          <cell r="BC317">
            <v>13456.79</v>
          </cell>
          <cell r="BD317">
            <v>6252.83</v>
          </cell>
          <cell r="BE317">
            <v>8287.1200000000008</v>
          </cell>
          <cell r="BF317">
            <v>5142</v>
          </cell>
          <cell r="BG317">
            <v>5114.87</v>
          </cell>
          <cell r="BH317">
            <v>2092.94</v>
          </cell>
          <cell r="BI317">
            <v>3606.13</v>
          </cell>
          <cell r="BJ317">
            <v>2594.9899999999998</v>
          </cell>
          <cell r="BK317">
            <v>5408.2</v>
          </cell>
          <cell r="BL317">
            <v>6246.19</v>
          </cell>
          <cell r="BM317">
            <v>34917.06</v>
          </cell>
        </row>
        <row r="318">
          <cell r="A318" t="str">
            <v xml:space="preserve">CHRISTIANE </v>
          </cell>
          <cell r="B318" t="str">
            <v>ELETRICA     **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</row>
        <row r="319">
          <cell r="A319" t="str">
            <v xml:space="preserve">CHRISTIANE </v>
          </cell>
          <cell r="B319" t="str">
            <v>ELETRODOMESTICOS   **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</row>
        <row r="320">
          <cell r="A320" t="str">
            <v xml:space="preserve">CHRISTIANE </v>
          </cell>
          <cell r="B320" t="str">
            <v>ESQUADRIAS</v>
          </cell>
          <cell r="AY320">
            <v>2699.58</v>
          </cell>
          <cell r="AZ320">
            <v>2373.9499999999998</v>
          </cell>
          <cell r="BA320">
            <v>1132.3</v>
          </cell>
          <cell r="BB320">
            <v>1450.35</v>
          </cell>
          <cell r="BC320">
            <v>3830.02</v>
          </cell>
          <cell r="BD320">
            <v>1467.57</v>
          </cell>
          <cell r="BE320">
            <v>8355.23</v>
          </cell>
          <cell r="BF320">
            <v>4275.84</v>
          </cell>
          <cell r="BG320">
            <v>9872.9500000000007</v>
          </cell>
          <cell r="BH320">
            <v>1425.95</v>
          </cell>
          <cell r="BI320">
            <v>4159.3999999999996</v>
          </cell>
          <cell r="BJ320">
            <v>6310.24</v>
          </cell>
          <cell r="BK320">
            <v>2431.15</v>
          </cell>
          <cell r="BL320">
            <v>6632.2</v>
          </cell>
          <cell r="BM320">
            <v>4451.8999999999996</v>
          </cell>
        </row>
        <row r="321">
          <cell r="A321" t="str">
            <v xml:space="preserve">CHRISTIANE </v>
          </cell>
          <cell r="B321" t="str">
            <v>FERRAGENS</v>
          </cell>
          <cell r="AY321">
            <v>2969.26</v>
          </cell>
          <cell r="AZ321">
            <v>3591.47</v>
          </cell>
          <cell r="BA321">
            <v>5520.55</v>
          </cell>
          <cell r="BB321">
            <v>4383.42</v>
          </cell>
          <cell r="BC321">
            <v>3618.42</v>
          </cell>
          <cell r="BD321">
            <v>3808.8</v>
          </cell>
          <cell r="BE321">
            <v>6650.51</v>
          </cell>
          <cell r="BF321">
            <v>5922.89</v>
          </cell>
          <cell r="BG321">
            <v>7709.45</v>
          </cell>
          <cell r="BH321">
            <v>5111.53</v>
          </cell>
          <cell r="BI321">
            <v>3402.45</v>
          </cell>
          <cell r="BJ321">
            <v>4516.03</v>
          </cell>
          <cell r="BK321">
            <v>2748.05</v>
          </cell>
          <cell r="BL321">
            <v>4704.99</v>
          </cell>
          <cell r="BM321">
            <v>3912.19</v>
          </cell>
        </row>
        <row r="322">
          <cell r="A322" t="str">
            <v xml:space="preserve">CHRISTIANE </v>
          </cell>
          <cell r="B322" t="str">
            <v>FERRAMENTAS</v>
          </cell>
          <cell r="AY322">
            <v>4033.5</v>
          </cell>
          <cell r="AZ322">
            <v>2613.69</v>
          </cell>
          <cell r="BA322">
            <v>4780.74</v>
          </cell>
          <cell r="BB322">
            <v>4893.66</v>
          </cell>
          <cell r="BC322">
            <v>5386.79</v>
          </cell>
          <cell r="BD322">
            <v>6792.02</v>
          </cell>
          <cell r="BE322">
            <v>7472.96</v>
          </cell>
          <cell r="BF322">
            <v>7521.47</v>
          </cell>
          <cell r="BG322">
            <v>8248.68</v>
          </cell>
          <cell r="BH322">
            <v>5207.1899999999996</v>
          </cell>
          <cell r="BI322">
            <v>4510.57</v>
          </cell>
          <cell r="BJ322">
            <v>4806.1499999999996</v>
          </cell>
          <cell r="BK322">
            <v>5884.89</v>
          </cell>
          <cell r="BL322">
            <v>3870.6</v>
          </cell>
          <cell r="BM322">
            <v>8120.15</v>
          </cell>
        </row>
        <row r="323">
          <cell r="A323" t="str">
            <v xml:space="preserve">CHRISTIANE </v>
          </cell>
          <cell r="B323" t="str">
            <v>HIDRAULICAS</v>
          </cell>
          <cell r="AY323">
            <v>6419.35</v>
          </cell>
          <cell r="AZ323">
            <v>8397.1299999999992</v>
          </cell>
          <cell r="BA323">
            <v>9503.25</v>
          </cell>
          <cell r="BB323">
            <v>12144.44</v>
          </cell>
          <cell r="BC323">
            <v>11683.52</v>
          </cell>
          <cell r="BD323">
            <v>7869.36</v>
          </cell>
          <cell r="BE323">
            <v>24425.49</v>
          </cell>
          <cell r="BF323">
            <v>13874.1</v>
          </cell>
          <cell r="BG323">
            <v>27444.92</v>
          </cell>
          <cell r="BH323">
            <v>8071.65</v>
          </cell>
          <cell r="BI323">
            <v>8979.98</v>
          </cell>
          <cell r="BJ323">
            <v>9173.91</v>
          </cell>
          <cell r="BK323">
            <v>5304.37</v>
          </cell>
          <cell r="BL323">
            <v>11596.46</v>
          </cell>
          <cell r="BM323">
            <v>7683.51</v>
          </cell>
        </row>
        <row r="324">
          <cell r="A324" t="str">
            <v xml:space="preserve">CHRISTIANE </v>
          </cell>
          <cell r="B324" t="str">
            <v>ILUMINAÇÃO</v>
          </cell>
          <cell r="AY324">
            <v>842.18</v>
          </cell>
          <cell r="AZ324">
            <v>379.15</v>
          </cell>
          <cell r="BA324">
            <v>1073.3900000000001</v>
          </cell>
          <cell r="BB324">
            <v>1081.3</v>
          </cell>
          <cell r="BC324">
            <v>952.25</v>
          </cell>
          <cell r="BD324">
            <v>836.9</v>
          </cell>
          <cell r="BE324">
            <v>3997.57</v>
          </cell>
          <cell r="BF324">
            <v>830.87</v>
          </cell>
          <cell r="BG324">
            <v>701.95</v>
          </cell>
          <cell r="BH324">
            <v>728.9</v>
          </cell>
          <cell r="BI324">
            <v>497.09</v>
          </cell>
          <cell r="BJ324">
            <v>1519.16</v>
          </cell>
          <cell r="BK324">
            <v>630.75</v>
          </cell>
          <cell r="BL324">
            <v>398.36</v>
          </cell>
          <cell r="BM324">
            <v>1334.74</v>
          </cell>
        </row>
        <row r="325">
          <cell r="A325" t="str">
            <v xml:space="preserve">CHRISTIANE </v>
          </cell>
          <cell r="B325" t="str">
            <v>JARDINAGEM   *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</row>
        <row r="326">
          <cell r="A326" t="str">
            <v xml:space="preserve">CHRISTIANE </v>
          </cell>
          <cell r="B326" t="str">
            <v>LAZER</v>
          </cell>
          <cell r="AY326">
            <v>1729.33</v>
          </cell>
          <cell r="AZ326">
            <v>4530.8599999999997</v>
          </cell>
          <cell r="BA326">
            <v>1598.3</v>
          </cell>
          <cell r="BB326">
            <v>2367.66</v>
          </cell>
          <cell r="BC326">
            <v>2845.43</v>
          </cell>
          <cell r="BD326">
            <v>4020.56</v>
          </cell>
          <cell r="BE326">
            <v>1257.58</v>
          </cell>
          <cell r="BF326">
            <v>3908.39</v>
          </cell>
          <cell r="BG326">
            <v>3596.99</v>
          </cell>
          <cell r="BH326">
            <v>6837.1</v>
          </cell>
          <cell r="BI326">
            <v>778.15</v>
          </cell>
          <cell r="BJ326">
            <v>3987.02</v>
          </cell>
          <cell r="BK326">
            <v>2586.27</v>
          </cell>
          <cell r="BL326">
            <v>3172.3</v>
          </cell>
          <cell r="BM326">
            <v>1381.2</v>
          </cell>
        </row>
        <row r="327">
          <cell r="A327" t="str">
            <v xml:space="preserve">CHRISTIANE </v>
          </cell>
          <cell r="B327" t="str">
            <v>LOUÇAS</v>
          </cell>
          <cell r="AY327">
            <v>1649.7</v>
          </cell>
          <cell r="AZ327">
            <v>2013.1</v>
          </cell>
          <cell r="BA327">
            <v>941.4</v>
          </cell>
          <cell r="BB327">
            <v>281.60000000000002</v>
          </cell>
          <cell r="BC327">
            <v>3384.7</v>
          </cell>
          <cell r="BD327">
            <v>252.6</v>
          </cell>
          <cell r="BE327">
            <v>4355.3999999999996</v>
          </cell>
          <cell r="BF327">
            <v>1805.2</v>
          </cell>
          <cell r="BG327">
            <v>3079.94</v>
          </cell>
          <cell r="BH327">
            <v>5707.6</v>
          </cell>
          <cell r="BI327">
            <v>4145</v>
          </cell>
          <cell r="BJ327">
            <v>1284.2</v>
          </cell>
          <cell r="BK327">
            <v>3384.9</v>
          </cell>
          <cell r="BL327">
            <v>929.45</v>
          </cell>
          <cell r="BM327">
            <v>2492.86</v>
          </cell>
        </row>
        <row r="328">
          <cell r="A328" t="str">
            <v xml:space="preserve">CHRISTIANE </v>
          </cell>
          <cell r="B328" t="str">
            <v>MATERIAIS BÁSICOS</v>
          </cell>
          <cell r="AY328">
            <v>34030.050000000003</v>
          </cell>
          <cell r="AZ328">
            <v>24847.68</v>
          </cell>
          <cell r="BA328">
            <v>58813.22</v>
          </cell>
          <cell r="BB328">
            <v>32591.93</v>
          </cell>
          <cell r="BC328">
            <v>44830.86</v>
          </cell>
          <cell r="BD328">
            <v>20342.23</v>
          </cell>
          <cell r="BE328">
            <v>38073.89</v>
          </cell>
          <cell r="BF328">
            <v>42401.87</v>
          </cell>
          <cell r="BG328">
            <v>89059.63</v>
          </cell>
          <cell r="BH328">
            <v>49374.77</v>
          </cell>
          <cell r="BI328">
            <v>37530.370000000003</v>
          </cell>
          <cell r="BJ328">
            <v>21047.24</v>
          </cell>
          <cell r="BK328">
            <v>18556.27</v>
          </cell>
          <cell r="BL328">
            <v>32127.45</v>
          </cell>
          <cell r="BM328">
            <v>37277.550000000003</v>
          </cell>
        </row>
        <row r="329">
          <cell r="A329" t="str">
            <v xml:space="preserve">CHRISTIANE </v>
          </cell>
          <cell r="B329" t="str">
            <v>MATERIAIS ELETRICOS</v>
          </cell>
          <cell r="AY329">
            <v>3027.92</v>
          </cell>
          <cell r="AZ329">
            <v>2531.16</v>
          </cell>
          <cell r="BA329">
            <v>5458.83</v>
          </cell>
          <cell r="BB329">
            <v>7104.44</v>
          </cell>
          <cell r="BC329">
            <v>8023.78</v>
          </cell>
          <cell r="BD329">
            <v>8281.77</v>
          </cell>
          <cell r="BE329">
            <v>12442.24</v>
          </cell>
          <cell r="BF329">
            <v>6561.64</v>
          </cell>
          <cell r="BG329">
            <v>6305.31</v>
          </cell>
          <cell r="BH329">
            <v>3306.33</v>
          </cell>
          <cell r="BI329">
            <v>6228.71</v>
          </cell>
          <cell r="BJ329">
            <v>7766.24</v>
          </cell>
          <cell r="BK329">
            <v>4790.9799999999996</v>
          </cell>
          <cell r="BL329">
            <v>5550.91</v>
          </cell>
          <cell r="BM329">
            <v>8882.25</v>
          </cell>
        </row>
        <row r="330">
          <cell r="A330" t="str">
            <v xml:space="preserve">CHRISTIANE </v>
          </cell>
          <cell r="B330" t="str">
            <v>METAIS</v>
          </cell>
          <cell r="AY330">
            <v>2752.34</v>
          </cell>
          <cell r="AZ330">
            <v>1572.7</v>
          </cell>
          <cell r="BA330">
            <v>1269.72</v>
          </cell>
          <cell r="BB330">
            <v>2088.85</v>
          </cell>
          <cell r="BC330">
            <v>2507.84</v>
          </cell>
          <cell r="BD330">
            <v>3237.45</v>
          </cell>
          <cell r="BE330">
            <v>4220.8100000000004</v>
          </cell>
          <cell r="BF330">
            <v>2350.4</v>
          </cell>
          <cell r="BG330">
            <v>2941.02</v>
          </cell>
          <cell r="BH330">
            <v>2597.7399999999998</v>
          </cell>
          <cell r="BI330">
            <v>1822.56</v>
          </cell>
          <cell r="BJ330">
            <v>4496.01</v>
          </cell>
          <cell r="BK330">
            <v>2022.35</v>
          </cell>
          <cell r="BL330">
            <v>2377.84</v>
          </cell>
          <cell r="BM330">
            <v>1782.09</v>
          </cell>
        </row>
        <row r="331">
          <cell r="A331" t="str">
            <v xml:space="preserve">CHRISTIANE </v>
          </cell>
          <cell r="B331" t="str">
            <v>MOVEIS</v>
          </cell>
          <cell r="AY331">
            <v>1872.4</v>
          </cell>
          <cell r="AZ331">
            <v>113.3</v>
          </cell>
          <cell r="BA331">
            <v>681.7</v>
          </cell>
          <cell r="BB331">
            <v>2770.85</v>
          </cell>
          <cell r="BC331">
            <v>3322.81</v>
          </cell>
          <cell r="BD331">
            <v>1964.21</v>
          </cell>
          <cell r="BE331">
            <v>2151.5</v>
          </cell>
          <cell r="BF331">
            <v>2585.6</v>
          </cell>
          <cell r="BG331">
            <v>2225.65</v>
          </cell>
          <cell r="BH331">
            <v>1172.7</v>
          </cell>
          <cell r="BI331">
            <v>2987.19</v>
          </cell>
          <cell r="BJ331">
            <v>1730.45</v>
          </cell>
          <cell r="BK331">
            <v>1507.74</v>
          </cell>
          <cell r="BL331">
            <v>3520.64</v>
          </cell>
          <cell r="BM331">
            <v>4342.83</v>
          </cell>
        </row>
        <row r="332">
          <cell r="A332" t="str">
            <v xml:space="preserve">CHRISTIANE </v>
          </cell>
          <cell r="B332" t="str">
            <v>PINTURA</v>
          </cell>
          <cell r="AY332">
            <v>2136.5100000000002</v>
          </cell>
          <cell r="AZ332">
            <v>1782.84</v>
          </cell>
          <cell r="BA332">
            <v>4471.43</v>
          </cell>
          <cell r="BB332">
            <v>5064.5</v>
          </cell>
          <cell r="BC332">
            <v>4079.51</v>
          </cell>
          <cell r="BD332">
            <v>3702.47</v>
          </cell>
          <cell r="BE332">
            <v>3962.43</v>
          </cell>
          <cell r="BF332">
            <v>4708.37</v>
          </cell>
          <cell r="BG332">
            <v>6216.66</v>
          </cell>
          <cell r="BH332">
            <v>4491.3</v>
          </cell>
          <cell r="BI332">
            <v>2619.0300000000002</v>
          </cell>
          <cell r="BJ332">
            <v>6953.9</v>
          </cell>
          <cell r="BK332">
            <v>2024.05</v>
          </cell>
          <cell r="BL332">
            <v>3929.27</v>
          </cell>
          <cell r="BM332">
            <v>3780.23</v>
          </cell>
        </row>
        <row r="333">
          <cell r="A333" t="str">
            <v xml:space="preserve">CHRISTIANE </v>
          </cell>
          <cell r="B333" t="str">
            <v>PISOS E REVESTIMENTOS</v>
          </cell>
          <cell r="AY333">
            <v>15926.07</v>
          </cell>
          <cell r="AZ333">
            <v>14437.89</v>
          </cell>
          <cell r="BA333">
            <v>12856.57</v>
          </cell>
          <cell r="BB333">
            <v>23730.23</v>
          </cell>
          <cell r="BC333">
            <v>23011.14</v>
          </cell>
          <cell r="BD333">
            <v>22809.040000000001</v>
          </cell>
          <cell r="BE333">
            <v>28909.51</v>
          </cell>
          <cell r="BF333">
            <v>14866.29</v>
          </cell>
          <cell r="BG333">
            <v>44715.28</v>
          </cell>
          <cell r="BH333">
            <v>44769.7</v>
          </cell>
          <cell r="BI333">
            <v>48202.14</v>
          </cell>
          <cell r="BJ333">
            <v>32235.74</v>
          </cell>
          <cell r="BK333">
            <v>10644.94</v>
          </cell>
          <cell r="BL333">
            <v>9688.98</v>
          </cell>
          <cell r="BM333">
            <v>11364.53</v>
          </cell>
        </row>
        <row r="334">
          <cell r="A334" t="str">
            <v xml:space="preserve">CHRISTIANE </v>
          </cell>
          <cell r="B334" t="str">
            <v>PRATELEIRA  *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</row>
        <row r="335">
          <cell r="A335" t="str">
            <v xml:space="preserve">CHRISTIANE </v>
          </cell>
          <cell r="B335" t="str">
            <v>ULTILIDADES DOMESTICAS  *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7.9</v>
          </cell>
        </row>
        <row r="336">
          <cell r="A336" t="str">
            <v xml:space="preserve">CHRISTIANE </v>
          </cell>
          <cell r="B336" t="str">
            <v>zFERRAMENTAS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</row>
        <row r="337">
          <cell r="A337" t="str">
            <v xml:space="preserve">CHRISTIANE </v>
          </cell>
          <cell r="B337" t="str">
            <v>zMATERIAIS BASICOS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</row>
        <row r="338">
          <cell r="A338" t="str">
            <v xml:space="preserve">CHRISTIANE </v>
          </cell>
          <cell r="B338" t="str">
            <v>zPARAFUSOS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</row>
        <row r="341">
          <cell r="A341" t="str">
            <v>ANDERSON</v>
          </cell>
          <cell r="B341" t="str">
            <v>ACABAMENTO  **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</row>
        <row r="342">
          <cell r="A342" t="str">
            <v>ANDERSON</v>
          </cell>
          <cell r="B342" t="str">
            <v>COBERTURA</v>
          </cell>
          <cell r="AY342">
            <v>16408.2</v>
          </cell>
          <cell r="AZ342">
            <v>5799.32</v>
          </cell>
          <cell r="BA342">
            <v>1881.3</v>
          </cell>
          <cell r="BB342">
            <v>623.28</v>
          </cell>
          <cell r="BC342">
            <v>0</v>
          </cell>
          <cell r="BD342">
            <v>0</v>
          </cell>
          <cell r="BE342">
            <v>0</v>
          </cell>
          <cell r="BF342">
            <v>12.91</v>
          </cell>
          <cell r="BG342">
            <v>777.36</v>
          </cell>
          <cell r="BH342">
            <v>10313.57</v>
          </cell>
          <cell r="BI342">
            <v>1780.32</v>
          </cell>
          <cell r="BJ342">
            <v>6962.87</v>
          </cell>
          <cell r="BK342">
            <v>3516.16</v>
          </cell>
          <cell r="BL342">
            <v>4398.3599999999997</v>
          </cell>
          <cell r="BM342">
            <v>5300.64</v>
          </cell>
        </row>
        <row r="343">
          <cell r="A343" t="str">
            <v>ANDERSON</v>
          </cell>
          <cell r="B343" t="str">
            <v>ELETRICA     **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</row>
        <row r="344">
          <cell r="A344" t="str">
            <v>ANDERSON</v>
          </cell>
          <cell r="B344" t="str">
            <v>ELETRODOMESTICOS   **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</row>
        <row r="345">
          <cell r="A345" t="str">
            <v>ANDERSON</v>
          </cell>
          <cell r="B345" t="str">
            <v>ESQUADRIAS</v>
          </cell>
          <cell r="AY345">
            <v>5686.85</v>
          </cell>
          <cell r="AZ345">
            <v>4705.68</v>
          </cell>
          <cell r="BA345">
            <v>3475.6</v>
          </cell>
          <cell r="BB345">
            <v>171.57</v>
          </cell>
          <cell r="BC345">
            <v>0</v>
          </cell>
          <cell r="BD345">
            <v>7.81</v>
          </cell>
          <cell r="BE345">
            <v>0</v>
          </cell>
          <cell r="BF345">
            <v>155</v>
          </cell>
          <cell r="BG345">
            <v>195.9</v>
          </cell>
          <cell r="BH345">
            <v>1483.2</v>
          </cell>
          <cell r="BI345">
            <v>11125.2</v>
          </cell>
          <cell r="BJ345">
            <v>2013</v>
          </cell>
          <cell r="BK345">
            <v>1706.35</v>
          </cell>
          <cell r="BL345">
            <v>4088.06</v>
          </cell>
          <cell r="BM345">
            <v>95.65</v>
          </cell>
        </row>
        <row r="346">
          <cell r="A346" t="str">
            <v>ANDERSON</v>
          </cell>
          <cell r="B346" t="str">
            <v>FERRAGENS</v>
          </cell>
          <cell r="AY346">
            <v>4723.3999999999996</v>
          </cell>
          <cell r="AZ346">
            <v>4835.41</v>
          </cell>
          <cell r="BA346">
            <v>5049.93</v>
          </cell>
          <cell r="BB346">
            <v>482.84</v>
          </cell>
          <cell r="BC346">
            <v>41.32</v>
          </cell>
          <cell r="BD346">
            <v>257.55</v>
          </cell>
          <cell r="BE346">
            <v>13.9</v>
          </cell>
          <cell r="BF346">
            <v>38.44</v>
          </cell>
          <cell r="BG346">
            <v>940.82</v>
          </cell>
          <cell r="BH346">
            <v>3266.82</v>
          </cell>
          <cell r="BI346">
            <v>3535.14</v>
          </cell>
          <cell r="BJ346">
            <v>4872.92</v>
          </cell>
          <cell r="BK346">
            <v>4351.96</v>
          </cell>
          <cell r="BL346">
            <v>3164.56</v>
          </cell>
          <cell r="BM346">
            <v>1639.56</v>
          </cell>
        </row>
        <row r="347">
          <cell r="A347" t="str">
            <v>ANDERSON</v>
          </cell>
          <cell r="B347" t="str">
            <v>FERRAMENTAS</v>
          </cell>
          <cell r="AY347">
            <v>5314.27</v>
          </cell>
          <cell r="AZ347">
            <v>6009.72</v>
          </cell>
          <cell r="BA347">
            <v>5829.16</v>
          </cell>
          <cell r="BB347">
            <v>1147.76</v>
          </cell>
          <cell r="BC347">
            <v>18.16</v>
          </cell>
          <cell r="BD347">
            <v>248.5</v>
          </cell>
          <cell r="BE347">
            <v>0.61</v>
          </cell>
          <cell r="BF347">
            <v>121.53</v>
          </cell>
          <cell r="BG347">
            <v>1479.02</v>
          </cell>
          <cell r="BH347">
            <v>7429.29</v>
          </cell>
          <cell r="BI347">
            <v>5589.01</v>
          </cell>
          <cell r="BJ347">
            <v>5411.99</v>
          </cell>
          <cell r="BK347">
            <v>6772.9</v>
          </cell>
          <cell r="BL347">
            <v>10864.67</v>
          </cell>
          <cell r="BM347">
            <v>1693.68</v>
          </cell>
        </row>
        <row r="348">
          <cell r="A348" t="str">
            <v>ANDERSON</v>
          </cell>
          <cell r="B348" t="str">
            <v>HIDRAULICAS</v>
          </cell>
          <cell r="AY348">
            <v>16460</v>
          </cell>
          <cell r="AZ348">
            <v>13024.31</v>
          </cell>
          <cell r="BA348">
            <v>9977.41</v>
          </cell>
          <cell r="BB348">
            <v>1369.76</v>
          </cell>
          <cell r="BC348">
            <v>11.6</v>
          </cell>
          <cell r="BD348">
            <v>136</v>
          </cell>
          <cell r="BE348">
            <v>20.9</v>
          </cell>
          <cell r="BF348">
            <v>17</v>
          </cell>
          <cell r="BG348">
            <v>1635.24</v>
          </cell>
          <cell r="BH348">
            <v>8470.24</v>
          </cell>
          <cell r="BI348">
            <v>6835.13</v>
          </cell>
          <cell r="BJ348">
            <v>10297.48</v>
          </cell>
          <cell r="BK348">
            <v>10251.93</v>
          </cell>
          <cell r="BL348">
            <v>10356.299999999999</v>
          </cell>
          <cell r="BM348">
            <v>2136.92</v>
          </cell>
        </row>
        <row r="349">
          <cell r="A349" t="str">
            <v>ANDERSON</v>
          </cell>
          <cell r="B349" t="str">
            <v>ILUMINAÇÃO</v>
          </cell>
          <cell r="AY349">
            <v>646.01</v>
          </cell>
          <cell r="AZ349">
            <v>918.74</v>
          </cell>
          <cell r="BA349">
            <v>536.19000000000005</v>
          </cell>
          <cell r="BB349">
            <v>57.48</v>
          </cell>
          <cell r="BC349">
            <v>139</v>
          </cell>
          <cell r="BD349">
            <v>0</v>
          </cell>
          <cell r="BE349">
            <v>11.85</v>
          </cell>
          <cell r="BF349">
            <v>0</v>
          </cell>
          <cell r="BG349">
            <v>59.3</v>
          </cell>
          <cell r="BH349">
            <v>166.5</v>
          </cell>
          <cell r="BI349">
            <v>261.89999999999998</v>
          </cell>
          <cell r="BJ349">
            <v>640.24</v>
          </cell>
          <cell r="BK349">
            <v>1478.26</v>
          </cell>
          <cell r="BL349">
            <v>698.55</v>
          </cell>
          <cell r="BM349">
            <v>210.15</v>
          </cell>
        </row>
        <row r="350">
          <cell r="A350" t="str">
            <v>ANDERSON</v>
          </cell>
          <cell r="B350" t="str">
            <v>JARDINAGEM   *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</row>
        <row r="351">
          <cell r="A351" t="str">
            <v>ANDERSON</v>
          </cell>
          <cell r="B351" t="str">
            <v>LAZER</v>
          </cell>
          <cell r="AY351">
            <v>940.96</v>
          </cell>
          <cell r="AZ351">
            <v>596.36</v>
          </cell>
          <cell r="BA351">
            <v>1951.11</v>
          </cell>
          <cell r="BB351">
            <v>82.8</v>
          </cell>
          <cell r="BC351">
            <v>0</v>
          </cell>
          <cell r="BD351">
            <v>29.9</v>
          </cell>
          <cell r="BE351">
            <v>0</v>
          </cell>
          <cell r="BF351">
            <v>107.7</v>
          </cell>
          <cell r="BG351">
            <v>2974.85</v>
          </cell>
          <cell r="BH351">
            <v>1506.4</v>
          </cell>
          <cell r="BI351">
            <v>2917.65</v>
          </cell>
          <cell r="BJ351">
            <v>4301.54</v>
          </cell>
          <cell r="BK351">
            <v>3188.47</v>
          </cell>
          <cell r="BL351">
            <v>1435.9</v>
          </cell>
          <cell r="BM351">
            <v>205.25</v>
          </cell>
        </row>
        <row r="352">
          <cell r="A352" t="str">
            <v>ANDERSON</v>
          </cell>
          <cell r="B352" t="str">
            <v>LOUÇAS</v>
          </cell>
          <cell r="AY352">
            <v>105.3</v>
          </cell>
          <cell r="AZ352">
            <v>2938.13</v>
          </cell>
          <cell r="BA352">
            <v>541.70000000000005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1737.4</v>
          </cell>
          <cell r="BI352">
            <v>1446.1</v>
          </cell>
          <cell r="BJ352">
            <v>1061.4000000000001</v>
          </cell>
          <cell r="BK352">
            <v>2460.85</v>
          </cell>
          <cell r="BL352">
            <v>598.35</v>
          </cell>
          <cell r="BM352">
            <v>125.9</v>
          </cell>
        </row>
        <row r="353">
          <cell r="A353" t="str">
            <v>ANDERSON</v>
          </cell>
          <cell r="B353" t="str">
            <v>MATERIAIS BÁSICOS</v>
          </cell>
          <cell r="AY353">
            <v>49889.23</v>
          </cell>
          <cell r="AZ353">
            <v>39085.89</v>
          </cell>
          <cell r="BA353">
            <v>36423.17</v>
          </cell>
          <cell r="BB353">
            <v>9378.44</v>
          </cell>
          <cell r="BC353">
            <v>23.9</v>
          </cell>
          <cell r="BD353">
            <v>23.6</v>
          </cell>
          <cell r="BE353">
            <v>0</v>
          </cell>
          <cell r="BF353">
            <v>0</v>
          </cell>
          <cell r="BG353">
            <v>4666.58</v>
          </cell>
          <cell r="BH353">
            <v>25709.22</v>
          </cell>
          <cell r="BI353">
            <v>28290.71</v>
          </cell>
          <cell r="BJ353">
            <v>31274.94</v>
          </cell>
          <cell r="BK353">
            <v>29857.48</v>
          </cell>
          <cell r="BL353">
            <v>25275.11</v>
          </cell>
          <cell r="BM353">
            <v>15308.58</v>
          </cell>
        </row>
        <row r="354">
          <cell r="A354" t="str">
            <v>ANDERSON</v>
          </cell>
          <cell r="B354" t="str">
            <v>MATERIAIS ELETRICOS</v>
          </cell>
          <cell r="AY354">
            <v>3210.18</v>
          </cell>
          <cell r="AZ354">
            <v>7358.72</v>
          </cell>
          <cell r="BA354">
            <v>13198</v>
          </cell>
          <cell r="BB354">
            <v>345.55</v>
          </cell>
          <cell r="BC354">
            <v>122.41</v>
          </cell>
          <cell r="BD354">
            <v>-5.31</v>
          </cell>
          <cell r="BE354">
            <v>369.7</v>
          </cell>
          <cell r="BF354">
            <v>10.8</v>
          </cell>
          <cell r="BG354">
            <v>807.8</v>
          </cell>
          <cell r="BH354">
            <v>4357.59</v>
          </cell>
          <cell r="BI354">
            <v>3571.12</v>
          </cell>
          <cell r="BJ354">
            <v>6814.92</v>
          </cell>
          <cell r="BK354">
            <v>6679.21</v>
          </cell>
          <cell r="BL354">
            <v>5383.38</v>
          </cell>
          <cell r="BM354">
            <v>3839.83</v>
          </cell>
        </row>
        <row r="355">
          <cell r="A355" t="str">
            <v>ANDERSON</v>
          </cell>
          <cell r="B355" t="str">
            <v>METAIS</v>
          </cell>
          <cell r="AY355">
            <v>2108.2199999999998</v>
          </cell>
          <cell r="AZ355">
            <v>1462.61</v>
          </cell>
          <cell r="BA355">
            <v>1717.77</v>
          </cell>
          <cell r="BB355">
            <v>353.3</v>
          </cell>
          <cell r="BC355">
            <v>19</v>
          </cell>
          <cell r="BD355">
            <v>13.9</v>
          </cell>
          <cell r="BE355">
            <v>0</v>
          </cell>
          <cell r="BF355">
            <v>55.9</v>
          </cell>
          <cell r="BG355">
            <v>443.2</v>
          </cell>
          <cell r="BH355">
            <v>1664.85</v>
          </cell>
          <cell r="BI355">
            <v>936.25</v>
          </cell>
          <cell r="BJ355">
            <v>2126.4499999999998</v>
          </cell>
          <cell r="BK355">
            <v>3019.73</v>
          </cell>
          <cell r="BL355">
            <v>1675.86</v>
          </cell>
          <cell r="BM355">
            <v>343.2</v>
          </cell>
        </row>
        <row r="356">
          <cell r="A356" t="str">
            <v>ANDERSON</v>
          </cell>
          <cell r="B356" t="str">
            <v>MOVEIS</v>
          </cell>
          <cell r="AY356">
            <v>5607.94</v>
          </cell>
          <cell r="AZ356">
            <v>1866.68</v>
          </cell>
          <cell r="BA356">
            <v>613.75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769.7</v>
          </cell>
          <cell r="BI356">
            <v>3441.2</v>
          </cell>
          <cell r="BJ356">
            <v>729.7</v>
          </cell>
          <cell r="BK356">
            <v>291.7</v>
          </cell>
          <cell r="BL356">
            <v>1479.4</v>
          </cell>
          <cell r="BM356">
            <v>869.9</v>
          </cell>
        </row>
        <row r="357">
          <cell r="A357" t="str">
            <v>ANDERSON</v>
          </cell>
          <cell r="B357" t="str">
            <v>PINTURA</v>
          </cell>
          <cell r="AY357">
            <v>3703.76</v>
          </cell>
          <cell r="AZ357">
            <v>3807.46</v>
          </cell>
          <cell r="BA357">
            <v>4963.76</v>
          </cell>
          <cell r="BB357">
            <v>734.35</v>
          </cell>
          <cell r="BC357">
            <v>81.5</v>
          </cell>
          <cell r="BD357">
            <v>109.3</v>
          </cell>
          <cell r="BE357">
            <v>0</v>
          </cell>
          <cell r="BF357">
            <v>101.85</v>
          </cell>
          <cell r="BG357">
            <v>330.3</v>
          </cell>
          <cell r="BH357">
            <v>2214.4699999999998</v>
          </cell>
          <cell r="BI357">
            <v>3598.4</v>
          </cell>
          <cell r="BJ357">
            <v>5082.26</v>
          </cell>
          <cell r="BK357">
            <v>4746.4399999999996</v>
          </cell>
          <cell r="BL357">
            <v>4228.5600000000004</v>
          </cell>
          <cell r="BM357">
            <v>1426.85</v>
          </cell>
        </row>
        <row r="358">
          <cell r="A358" t="str">
            <v>ANDERSON</v>
          </cell>
          <cell r="B358" t="str">
            <v>PISOS E REVESTIMENTOS</v>
          </cell>
          <cell r="AY358">
            <v>12208.95</v>
          </cell>
          <cell r="AZ358">
            <v>14015.54</v>
          </cell>
          <cell r="BA358">
            <v>12374.92</v>
          </cell>
          <cell r="BB358">
            <v>-1553.43</v>
          </cell>
          <cell r="BC358">
            <v>24.8</v>
          </cell>
          <cell r="BD358">
            <v>0</v>
          </cell>
          <cell r="BE358">
            <v>9.9</v>
          </cell>
          <cell r="BF358">
            <v>26.75</v>
          </cell>
          <cell r="BG358">
            <v>5779.82</v>
          </cell>
          <cell r="BH358">
            <v>9657.51</v>
          </cell>
          <cell r="BI358">
            <v>11201.57</v>
          </cell>
          <cell r="BJ358">
            <v>19390.55</v>
          </cell>
          <cell r="BK358">
            <v>18146.46</v>
          </cell>
          <cell r="BL358">
            <v>22534.81</v>
          </cell>
          <cell r="BM358">
            <v>3255.6</v>
          </cell>
        </row>
        <row r="359">
          <cell r="A359" t="str">
            <v>ANDERSON</v>
          </cell>
          <cell r="B359" t="str">
            <v>PRATELEIRA  *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</row>
        <row r="360">
          <cell r="A360" t="str">
            <v>ANDERSON</v>
          </cell>
          <cell r="B360" t="str">
            <v>ULTILIDADES DOMESTICAS  *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</row>
        <row r="361">
          <cell r="A361" t="str">
            <v>ANDERSON</v>
          </cell>
          <cell r="B361" t="str">
            <v>zFERRAMENTAS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</row>
        <row r="362">
          <cell r="A362" t="str">
            <v>ANDERSON</v>
          </cell>
          <cell r="B362" t="str">
            <v>zMATERIAIS BASICOS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</row>
        <row r="363">
          <cell r="A363" t="str">
            <v>ANDERSON</v>
          </cell>
          <cell r="B363" t="str">
            <v>zPARAFUSOS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</row>
        <row r="366">
          <cell r="BA366">
            <v>0</v>
          </cell>
          <cell r="BC366">
            <v>0</v>
          </cell>
          <cell r="BK366">
            <v>0</v>
          </cell>
          <cell r="BM366">
            <v>0</v>
          </cell>
        </row>
        <row r="367">
          <cell r="A367" t="str">
            <v xml:space="preserve">VENDEDOR </v>
          </cell>
          <cell r="B367" t="str">
            <v>ACABAMENTO  **</v>
          </cell>
          <cell r="BA367">
            <v>0</v>
          </cell>
          <cell r="BC367">
            <v>0</v>
          </cell>
          <cell r="BK367">
            <v>0</v>
          </cell>
          <cell r="BM367">
            <v>0</v>
          </cell>
        </row>
        <row r="368">
          <cell r="A368" t="str">
            <v xml:space="preserve">VENDEDOR </v>
          </cell>
          <cell r="B368" t="str">
            <v>COBERTURA</v>
          </cell>
          <cell r="BA368">
            <v>0</v>
          </cell>
          <cell r="BC368">
            <v>0</v>
          </cell>
          <cell r="BK368">
            <v>0</v>
          </cell>
          <cell r="BM368">
            <v>0</v>
          </cell>
        </row>
        <row r="369">
          <cell r="A369" t="str">
            <v xml:space="preserve">VENDEDOR </v>
          </cell>
          <cell r="B369" t="str">
            <v>ELETRICA     **</v>
          </cell>
          <cell r="BA369">
            <v>0</v>
          </cell>
          <cell r="BC369">
            <v>0</v>
          </cell>
          <cell r="BK369">
            <v>0</v>
          </cell>
          <cell r="BM369">
            <v>0</v>
          </cell>
        </row>
        <row r="370">
          <cell r="A370" t="str">
            <v xml:space="preserve">VENDEDOR </v>
          </cell>
          <cell r="B370" t="str">
            <v>ELETRODOMESTICOS   **</v>
          </cell>
          <cell r="BA370">
            <v>0</v>
          </cell>
          <cell r="BC370">
            <v>0</v>
          </cell>
          <cell r="BK370">
            <v>0</v>
          </cell>
          <cell r="BM370">
            <v>0</v>
          </cell>
        </row>
        <row r="371">
          <cell r="A371" t="str">
            <v xml:space="preserve">VENDEDOR </v>
          </cell>
          <cell r="B371" t="str">
            <v>ESQUADRIAS</v>
          </cell>
          <cell r="BA371">
            <v>0</v>
          </cell>
          <cell r="BC371">
            <v>0</v>
          </cell>
          <cell r="BK371">
            <v>0</v>
          </cell>
          <cell r="BM371">
            <v>0</v>
          </cell>
        </row>
        <row r="372">
          <cell r="A372" t="str">
            <v xml:space="preserve">VENDEDOR </v>
          </cell>
          <cell r="B372" t="str">
            <v>FERRAGENS</v>
          </cell>
          <cell r="BA372">
            <v>0.01</v>
          </cell>
          <cell r="BC372">
            <v>0.01</v>
          </cell>
          <cell r="BK372">
            <v>0</v>
          </cell>
          <cell r="BM372">
            <v>0</v>
          </cell>
        </row>
        <row r="373">
          <cell r="A373" t="str">
            <v xml:space="preserve">VENDEDOR </v>
          </cell>
          <cell r="B373" t="str">
            <v>FERRAMENTAS</v>
          </cell>
          <cell r="BA373">
            <v>0</v>
          </cell>
          <cell r="BC373">
            <v>0</v>
          </cell>
          <cell r="BK373">
            <v>0</v>
          </cell>
          <cell r="BM373">
            <v>0</v>
          </cell>
        </row>
        <row r="374">
          <cell r="A374" t="str">
            <v xml:space="preserve">VENDEDOR </v>
          </cell>
          <cell r="B374" t="str">
            <v>HIDRAULICAS</v>
          </cell>
          <cell r="BA374">
            <v>0</v>
          </cell>
          <cell r="BC374">
            <v>0</v>
          </cell>
          <cell r="BK374">
            <v>0</v>
          </cell>
          <cell r="BM374">
            <v>0</v>
          </cell>
        </row>
        <row r="375">
          <cell r="A375" t="str">
            <v xml:space="preserve">VENDEDOR </v>
          </cell>
          <cell r="B375" t="str">
            <v>ILUMINAÇÃO</v>
          </cell>
          <cell r="BA375">
            <v>0</v>
          </cell>
          <cell r="BC375">
            <v>0</v>
          </cell>
          <cell r="BK375">
            <v>0</v>
          </cell>
          <cell r="BM375">
            <v>0</v>
          </cell>
        </row>
        <row r="376">
          <cell r="A376" t="str">
            <v xml:space="preserve">VENDEDOR </v>
          </cell>
          <cell r="B376" t="str">
            <v>JARDINAGEM   *</v>
          </cell>
          <cell r="BA376">
            <v>0</v>
          </cell>
          <cell r="BC376">
            <v>0</v>
          </cell>
          <cell r="BK376">
            <v>0</v>
          </cell>
          <cell r="BM376">
            <v>0</v>
          </cell>
        </row>
        <row r="377">
          <cell r="A377" t="str">
            <v xml:space="preserve">VENDEDOR </v>
          </cell>
          <cell r="B377" t="str">
            <v>LAZER</v>
          </cell>
          <cell r="BA377">
            <v>0</v>
          </cell>
          <cell r="BC377">
            <v>0</v>
          </cell>
          <cell r="BK377">
            <v>0</v>
          </cell>
          <cell r="BM377">
            <v>0</v>
          </cell>
        </row>
        <row r="378">
          <cell r="A378" t="str">
            <v xml:space="preserve">VENDEDOR </v>
          </cell>
          <cell r="B378" t="str">
            <v>LOUÇAS</v>
          </cell>
          <cell r="BA378">
            <v>0</v>
          </cell>
          <cell r="BC378">
            <v>0</v>
          </cell>
          <cell r="BK378">
            <v>0</v>
          </cell>
          <cell r="BM378">
            <v>0</v>
          </cell>
        </row>
        <row r="379">
          <cell r="A379" t="str">
            <v xml:space="preserve">VENDEDOR </v>
          </cell>
          <cell r="B379" t="str">
            <v>MATERIAIS BÁSICOS</v>
          </cell>
          <cell r="BA379">
            <v>0</v>
          </cell>
          <cell r="BC379">
            <v>0</v>
          </cell>
          <cell r="BK379">
            <v>0</v>
          </cell>
          <cell r="BM379">
            <v>0</v>
          </cell>
        </row>
        <row r="380">
          <cell r="A380" t="str">
            <v xml:space="preserve">VENDEDOR </v>
          </cell>
          <cell r="B380" t="str">
            <v>MATERIAIS ELETRICOS</v>
          </cell>
          <cell r="BA380">
            <v>0</v>
          </cell>
          <cell r="BC380">
            <v>0</v>
          </cell>
          <cell r="BK380">
            <v>0</v>
          </cell>
          <cell r="BM380">
            <v>0</v>
          </cell>
        </row>
        <row r="381">
          <cell r="A381" t="str">
            <v xml:space="preserve">VENDEDOR </v>
          </cell>
          <cell r="B381" t="str">
            <v>METAIS</v>
          </cell>
          <cell r="BA381">
            <v>0</v>
          </cell>
          <cell r="BC381">
            <v>0</v>
          </cell>
          <cell r="BK381">
            <v>0</v>
          </cell>
          <cell r="BM381">
            <v>0</v>
          </cell>
        </row>
        <row r="382">
          <cell r="A382" t="str">
            <v xml:space="preserve">VENDEDOR </v>
          </cell>
          <cell r="B382" t="str">
            <v>MOVEIS</v>
          </cell>
          <cell r="BA382">
            <v>0</v>
          </cell>
          <cell r="BC382">
            <v>0</v>
          </cell>
          <cell r="BK382">
            <v>3.7</v>
          </cell>
          <cell r="BM382">
            <v>78.8</v>
          </cell>
        </row>
        <row r="383">
          <cell r="A383" t="str">
            <v xml:space="preserve">VENDEDOR </v>
          </cell>
          <cell r="B383" t="str">
            <v>PINTURA</v>
          </cell>
          <cell r="BA383">
            <v>0</v>
          </cell>
          <cell r="BC383">
            <v>0</v>
          </cell>
          <cell r="BK383">
            <v>0</v>
          </cell>
          <cell r="BM383">
            <v>0</v>
          </cell>
        </row>
        <row r="384">
          <cell r="A384" t="str">
            <v xml:space="preserve">VENDEDOR </v>
          </cell>
          <cell r="B384" t="str">
            <v>PISOS E REVESTIMENTOS</v>
          </cell>
          <cell r="BA384">
            <v>0</v>
          </cell>
          <cell r="BC384">
            <v>0</v>
          </cell>
          <cell r="BK384">
            <v>0</v>
          </cell>
          <cell r="BM384">
            <v>0</v>
          </cell>
        </row>
        <row r="385">
          <cell r="A385" t="str">
            <v xml:space="preserve">VENDEDOR </v>
          </cell>
          <cell r="B385" t="str">
            <v>PRATELEIRA  *</v>
          </cell>
          <cell r="BA385">
            <v>0</v>
          </cell>
          <cell r="BC385">
            <v>0</v>
          </cell>
          <cell r="BK385">
            <v>0</v>
          </cell>
          <cell r="BM385">
            <v>0</v>
          </cell>
        </row>
        <row r="386">
          <cell r="A386" t="str">
            <v xml:space="preserve">VENDEDOR </v>
          </cell>
          <cell r="B386" t="str">
            <v>ULTILIDADES DOMESTICAS  *</v>
          </cell>
          <cell r="BA386">
            <v>0</v>
          </cell>
          <cell r="BC386">
            <v>0</v>
          </cell>
          <cell r="BK386">
            <v>0</v>
          </cell>
          <cell r="BM386">
            <v>0</v>
          </cell>
        </row>
        <row r="387">
          <cell r="A387" t="str">
            <v xml:space="preserve">VENDEDOR </v>
          </cell>
          <cell r="B387" t="str">
            <v>zFERRAMENTAS</v>
          </cell>
          <cell r="BA387">
            <v>0</v>
          </cell>
          <cell r="BC387">
            <v>0</v>
          </cell>
          <cell r="BK387">
            <v>0</v>
          </cell>
          <cell r="BM387">
            <v>0</v>
          </cell>
        </row>
        <row r="388">
          <cell r="A388" t="str">
            <v xml:space="preserve">VENDEDOR </v>
          </cell>
          <cell r="B388" t="str">
            <v>zMATERIAIS BASICOS</v>
          </cell>
          <cell r="BA388">
            <v>0</v>
          </cell>
          <cell r="BC388">
            <v>0</v>
          </cell>
          <cell r="BK388">
            <v>0</v>
          </cell>
          <cell r="BM388">
            <v>0</v>
          </cell>
        </row>
        <row r="389">
          <cell r="A389" t="str">
            <v xml:space="preserve">VENDEDOR </v>
          </cell>
          <cell r="B389" t="str">
            <v>zPARAFUSOS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5DA6-73B0-4E2B-A1BA-FBFE1A2F5414}">
  <dimension ref="A1:BK299"/>
  <sheetViews>
    <sheetView tabSelected="1" topLeftCell="L109" workbookViewId="0">
      <selection activeCell="L4" sqref="L4"/>
    </sheetView>
  </sheetViews>
  <sheetFormatPr defaultRowHeight="15" x14ac:dyDescent="0.25"/>
  <cols>
    <col min="1" max="1" width="20.42578125" customWidth="1"/>
    <col min="2" max="2" width="29.28515625" customWidth="1"/>
    <col min="3" max="3" width="12.28515625" bestFit="1" customWidth="1"/>
    <col min="4" max="4" width="13.7109375" bestFit="1" customWidth="1"/>
    <col min="5" max="5" width="11.7109375" bestFit="1" customWidth="1"/>
    <col min="6" max="6" width="10.140625" bestFit="1" customWidth="1"/>
    <col min="7" max="7" width="10.5703125" bestFit="1" customWidth="1"/>
    <col min="8" max="8" width="11.140625" bestFit="1" customWidth="1"/>
    <col min="9" max="9" width="10.5703125" bestFit="1" customWidth="1"/>
    <col min="10" max="10" width="12" bestFit="1" customWidth="1"/>
    <col min="11" max="11" width="14.42578125" bestFit="1" customWidth="1"/>
    <col min="12" max="12" width="13.140625" bestFit="1" customWidth="1"/>
    <col min="13" max="13" width="15" bestFit="1" customWidth="1"/>
    <col min="14" max="14" width="14.85546875" bestFit="1" customWidth="1"/>
    <col min="15" max="15" width="12.28515625" bestFit="1" customWidth="1"/>
    <col min="16" max="16" width="13.7109375" bestFit="1" customWidth="1"/>
    <col min="17" max="18" width="11.7109375" bestFit="1" customWidth="1"/>
    <col min="19" max="19" width="10.140625" bestFit="1" customWidth="1"/>
    <col min="20" max="20" width="10.5703125" bestFit="1" customWidth="1"/>
    <col min="21" max="21" width="11.140625" bestFit="1" customWidth="1"/>
    <col min="22" max="22" width="10.5703125" bestFit="1" customWidth="1"/>
    <col min="23" max="23" width="12" bestFit="1" customWidth="1"/>
    <col min="24" max="24" width="14.42578125" bestFit="1" customWidth="1"/>
    <col min="25" max="25" width="13.140625" bestFit="1" customWidth="1"/>
    <col min="26" max="26" width="15" bestFit="1" customWidth="1"/>
    <col min="27" max="27" width="14.85546875" bestFit="1" customWidth="1"/>
  </cols>
  <sheetData>
    <row r="1" spans="1:63" s="1" customFormat="1" x14ac:dyDescent="0.25"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  <c r="M1" s="1">
        <v>45962</v>
      </c>
      <c r="N1" s="1">
        <v>45992</v>
      </c>
      <c r="O1" s="1">
        <v>46023</v>
      </c>
      <c r="P1" s="1">
        <v>46054</v>
      </c>
      <c r="Q1" s="1">
        <v>46082</v>
      </c>
      <c r="R1" s="1">
        <v>46083</v>
      </c>
      <c r="S1" s="1">
        <v>46113</v>
      </c>
      <c r="T1" s="1">
        <v>46143</v>
      </c>
      <c r="U1" s="1">
        <v>46174</v>
      </c>
      <c r="V1" s="1">
        <v>46204</v>
      </c>
      <c r="W1" s="1">
        <v>46235</v>
      </c>
      <c r="X1" s="1">
        <v>46266</v>
      </c>
      <c r="Y1" s="1">
        <v>46296</v>
      </c>
      <c r="Z1" s="1">
        <v>46327</v>
      </c>
      <c r="AA1" s="1">
        <v>46357</v>
      </c>
    </row>
    <row r="2" spans="1:63" s="1" customFormat="1" x14ac:dyDescent="0.25">
      <c r="B2" t="s">
        <v>0</v>
      </c>
    </row>
    <row r="4" spans="1:63" x14ac:dyDescent="0.25">
      <c r="A4" t="s">
        <v>1</v>
      </c>
      <c r="C4" cm="1">
        <f t="array" ref="C4:BK14">'[1]BANCO DE DADOS 2'!$AY$93:$DG$103</f>
        <v>90</v>
      </c>
      <c r="D4">
        <v>53</v>
      </c>
      <c r="E4">
        <v>57</v>
      </c>
      <c r="F4">
        <v>120</v>
      </c>
      <c r="G4">
        <v>96</v>
      </c>
      <c r="H4">
        <v>104</v>
      </c>
      <c r="I4">
        <v>133</v>
      </c>
      <c r="J4">
        <v>148</v>
      </c>
      <c r="K4">
        <v>250</v>
      </c>
      <c r="L4">
        <v>86</v>
      </c>
      <c r="M4">
        <v>73</v>
      </c>
      <c r="N4">
        <v>132</v>
      </c>
      <c r="O4">
        <v>109</v>
      </c>
      <c r="P4">
        <v>67</v>
      </c>
      <c r="Q4">
        <v>68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x14ac:dyDescent="0.25">
      <c r="A5" t="s">
        <v>2</v>
      </c>
      <c r="C5">
        <v>121</v>
      </c>
      <c r="D5">
        <v>85</v>
      </c>
      <c r="E5">
        <v>112</v>
      </c>
      <c r="F5">
        <v>173</v>
      </c>
      <c r="G5">
        <v>176</v>
      </c>
      <c r="H5">
        <v>166</v>
      </c>
      <c r="I5">
        <v>224</v>
      </c>
      <c r="J5">
        <v>183</v>
      </c>
      <c r="K5">
        <v>258</v>
      </c>
      <c r="L5">
        <v>85</v>
      </c>
      <c r="M5">
        <v>78</v>
      </c>
      <c r="N5">
        <v>97</v>
      </c>
      <c r="O5">
        <v>108</v>
      </c>
      <c r="P5">
        <v>91</v>
      </c>
      <c r="Q5">
        <v>90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25">
      <c r="A6" t="s">
        <v>3</v>
      </c>
      <c r="C6">
        <v>218</v>
      </c>
      <c r="D6">
        <v>216</v>
      </c>
      <c r="E6">
        <v>246</v>
      </c>
      <c r="F6">
        <v>300</v>
      </c>
      <c r="G6">
        <v>312</v>
      </c>
      <c r="H6">
        <v>251</v>
      </c>
      <c r="I6">
        <v>213</v>
      </c>
      <c r="J6">
        <v>258</v>
      </c>
      <c r="K6">
        <v>529</v>
      </c>
      <c r="L6">
        <v>163</v>
      </c>
      <c r="M6">
        <v>147</v>
      </c>
      <c r="N6">
        <v>203</v>
      </c>
      <c r="O6">
        <v>277</v>
      </c>
      <c r="P6">
        <v>185</v>
      </c>
      <c r="Q6">
        <v>200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25">
      <c r="A7" t="s">
        <v>4</v>
      </c>
      <c r="C7">
        <v>35</v>
      </c>
      <c r="D7">
        <v>54</v>
      </c>
      <c r="E7">
        <v>58</v>
      </c>
      <c r="F7">
        <v>88</v>
      </c>
      <c r="G7">
        <v>87</v>
      </c>
      <c r="H7">
        <v>126</v>
      </c>
      <c r="I7">
        <v>80</v>
      </c>
      <c r="J7">
        <v>29</v>
      </c>
      <c r="K7">
        <v>11</v>
      </c>
      <c r="L7">
        <v>1</v>
      </c>
      <c r="M7">
        <v>1</v>
      </c>
      <c r="N7">
        <v>1</v>
      </c>
      <c r="O7">
        <v>5</v>
      </c>
      <c r="P7">
        <v>6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x14ac:dyDescent="0.25">
      <c r="A8" t="s">
        <v>5</v>
      </c>
      <c r="C8">
        <v>58</v>
      </c>
      <c r="D8">
        <v>73</v>
      </c>
      <c r="E8">
        <v>43</v>
      </c>
      <c r="F8">
        <v>84</v>
      </c>
      <c r="G8">
        <v>60</v>
      </c>
      <c r="H8">
        <v>75</v>
      </c>
      <c r="I8">
        <v>88</v>
      </c>
      <c r="J8">
        <v>66</v>
      </c>
      <c r="K8">
        <v>134</v>
      </c>
      <c r="L8">
        <v>46</v>
      </c>
      <c r="M8">
        <v>50</v>
      </c>
      <c r="N8">
        <v>48</v>
      </c>
      <c r="O8">
        <v>40</v>
      </c>
      <c r="P8">
        <v>36</v>
      </c>
      <c r="Q8">
        <v>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25">
      <c r="A9" t="s">
        <v>6</v>
      </c>
      <c r="C9">
        <v>78</v>
      </c>
      <c r="D9">
        <v>85</v>
      </c>
      <c r="E9">
        <v>67</v>
      </c>
      <c r="F9">
        <v>101</v>
      </c>
      <c r="G9">
        <v>130</v>
      </c>
      <c r="H9">
        <v>92</v>
      </c>
      <c r="I9">
        <v>104</v>
      </c>
      <c r="J9">
        <v>117</v>
      </c>
      <c r="K9">
        <v>234</v>
      </c>
      <c r="L9">
        <v>73</v>
      </c>
      <c r="M9">
        <v>59</v>
      </c>
      <c r="N9">
        <v>103</v>
      </c>
      <c r="O9">
        <v>78</v>
      </c>
      <c r="P9">
        <v>70</v>
      </c>
      <c r="Q9">
        <v>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25">
      <c r="A10" t="s">
        <v>7</v>
      </c>
      <c r="C10">
        <v>432</v>
      </c>
      <c r="D10">
        <v>397</v>
      </c>
      <c r="E10">
        <v>474</v>
      </c>
      <c r="F10">
        <v>280</v>
      </c>
      <c r="G10">
        <v>528</v>
      </c>
      <c r="H10">
        <v>518</v>
      </c>
      <c r="I10">
        <v>490</v>
      </c>
      <c r="J10">
        <v>577</v>
      </c>
      <c r="K10">
        <v>671</v>
      </c>
      <c r="L10">
        <v>493</v>
      </c>
      <c r="M10">
        <v>485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25">
      <c r="A11" t="s">
        <v>8</v>
      </c>
      <c r="C11">
        <v>740</v>
      </c>
      <c r="D11">
        <v>730</v>
      </c>
      <c r="E11">
        <v>792</v>
      </c>
      <c r="F11">
        <v>847</v>
      </c>
      <c r="G11">
        <v>909</v>
      </c>
      <c r="H11">
        <v>894</v>
      </c>
      <c r="I11">
        <v>1003</v>
      </c>
      <c r="J11">
        <v>889</v>
      </c>
      <c r="K11">
        <v>2</v>
      </c>
      <c r="L11">
        <v>815</v>
      </c>
      <c r="M11">
        <v>811</v>
      </c>
      <c r="N11">
        <v>831</v>
      </c>
      <c r="O11">
        <v>892</v>
      </c>
      <c r="P11">
        <v>751</v>
      </c>
      <c r="Q11">
        <v>849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25">
      <c r="A12" t="s">
        <v>9</v>
      </c>
      <c r="C12">
        <v>466</v>
      </c>
      <c r="D12">
        <v>400</v>
      </c>
      <c r="E12">
        <v>486</v>
      </c>
      <c r="F12">
        <v>579</v>
      </c>
      <c r="G12">
        <v>637</v>
      </c>
      <c r="H12">
        <v>635</v>
      </c>
      <c r="I12">
        <v>798</v>
      </c>
      <c r="J12">
        <v>668</v>
      </c>
      <c r="K12">
        <v>825</v>
      </c>
      <c r="L12">
        <v>663</v>
      </c>
      <c r="M12">
        <v>558</v>
      </c>
      <c r="N12">
        <v>686</v>
      </c>
      <c r="O12">
        <v>425</v>
      </c>
      <c r="P12">
        <v>561</v>
      </c>
      <c r="Q12">
        <v>678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 x14ac:dyDescent="0.25">
      <c r="A13" t="s">
        <v>10</v>
      </c>
      <c r="C13">
        <v>577</v>
      </c>
      <c r="D13">
        <v>598</v>
      </c>
      <c r="E13">
        <v>599</v>
      </c>
      <c r="F13">
        <v>82</v>
      </c>
      <c r="G13">
        <v>23</v>
      </c>
      <c r="H13">
        <v>19</v>
      </c>
      <c r="I13">
        <v>5</v>
      </c>
      <c r="J13">
        <v>21</v>
      </c>
      <c r="K13">
        <v>136</v>
      </c>
      <c r="L13">
        <v>581</v>
      </c>
      <c r="M13">
        <v>599</v>
      </c>
      <c r="N13">
        <v>761</v>
      </c>
      <c r="O13">
        <v>775</v>
      </c>
      <c r="P13">
        <v>588</v>
      </c>
      <c r="Q13">
        <v>236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 x14ac:dyDescent="0.25">
      <c r="A14" t="s">
        <v>11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6" spans="1:63" x14ac:dyDescent="0.25">
      <c r="B16" t="s">
        <v>12</v>
      </c>
    </row>
    <row r="18" spans="1:25" x14ac:dyDescent="0.25">
      <c r="A18" t="str" cm="1">
        <f t="array" ref="A18:B292">'[1]BANCO DE DADOS 2'!$A$116:$B$390</f>
        <v>CLAUDIO</v>
      </c>
      <c r="B18" t="str">
        <v>ACABAMENTO  **</v>
      </c>
      <c r="C18" s="2" cm="1">
        <f t="array" ref="C18:Y292">'[1]BANCO DE DADOS 2'!$AY$116:$BU$390</f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tr">
        <v>CLAUDIO</v>
      </c>
      <c r="B19" t="str">
        <v>COBERTURA</v>
      </c>
      <c r="C19">
        <v>1881.76</v>
      </c>
      <c r="D19">
        <v>486.4</v>
      </c>
      <c r="E19">
        <v>344.1</v>
      </c>
      <c r="F19">
        <v>2339.62</v>
      </c>
      <c r="G19">
        <v>1179.3800000000001</v>
      </c>
      <c r="H19">
        <v>137.55000000000001</v>
      </c>
      <c r="I19">
        <v>2576.84</v>
      </c>
      <c r="J19">
        <v>3977.33</v>
      </c>
      <c r="K19">
        <v>1478.24</v>
      </c>
      <c r="L19">
        <v>41.7</v>
      </c>
      <c r="M19">
        <v>2355</v>
      </c>
      <c r="N19">
        <v>2937.42</v>
      </c>
      <c r="O19">
        <v>0</v>
      </c>
      <c r="P19">
        <v>1058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tr">
        <v>CLAUDIO</v>
      </c>
      <c r="B20" t="str">
        <v>ELETRICA     **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tr">
        <v>CLAUDIO</v>
      </c>
      <c r="B21" t="str">
        <v>ELETRODOMESTICOS   **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tr">
        <v>CLAUDIO</v>
      </c>
      <c r="B22" t="str">
        <v>ESQUADRIAS</v>
      </c>
      <c r="C22">
        <v>1603.4</v>
      </c>
      <c r="D22">
        <v>0</v>
      </c>
      <c r="E22">
        <v>139.9</v>
      </c>
      <c r="F22">
        <v>1020.9</v>
      </c>
      <c r="G22">
        <v>1136.3</v>
      </c>
      <c r="H22">
        <v>550.79999999999995</v>
      </c>
      <c r="I22">
        <v>818.7</v>
      </c>
      <c r="J22">
        <v>399.8</v>
      </c>
      <c r="K22">
        <v>85</v>
      </c>
      <c r="L22">
        <v>2438.4</v>
      </c>
      <c r="M22">
        <v>1144.3</v>
      </c>
      <c r="N22">
        <v>2910.31</v>
      </c>
      <c r="O22">
        <v>0</v>
      </c>
      <c r="P22">
        <v>1009.2</v>
      </c>
      <c r="Q22">
        <v>753.02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tr">
        <v>CLAUDIO</v>
      </c>
      <c r="B23" t="str">
        <v>FERRAGENS</v>
      </c>
      <c r="C23">
        <v>399.08</v>
      </c>
      <c r="D23">
        <v>207.94</v>
      </c>
      <c r="E23">
        <v>406.65</v>
      </c>
      <c r="F23">
        <v>878.39</v>
      </c>
      <c r="G23">
        <v>391.86</v>
      </c>
      <c r="H23">
        <v>824.9</v>
      </c>
      <c r="I23">
        <v>552.95000000000005</v>
      </c>
      <c r="J23">
        <v>757.12</v>
      </c>
      <c r="K23">
        <v>1706.39</v>
      </c>
      <c r="L23">
        <v>531.65</v>
      </c>
      <c r="M23">
        <v>242.29</v>
      </c>
      <c r="N23">
        <v>778.03</v>
      </c>
      <c r="O23">
        <v>523.79</v>
      </c>
      <c r="P23">
        <v>441.75</v>
      </c>
      <c r="Q23">
        <v>223.85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tr">
        <v>CLAUDIO</v>
      </c>
      <c r="B24" t="str">
        <v>FERRAMENTAS</v>
      </c>
      <c r="C24">
        <v>467.87</v>
      </c>
      <c r="D24">
        <v>248.49</v>
      </c>
      <c r="E24">
        <v>1006.2</v>
      </c>
      <c r="F24">
        <v>1062.68</v>
      </c>
      <c r="G24">
        <v>1162.75</v>
      </c>
      <c r="H24">
        <v>825.17</v>
      </c>
      <c r="I24">
        <v>629.36</v>
      </c>
      <c r="J24">
        <v>1338.48</v>
      </c>
      <c r="K24">
        <v>2731.36</v>
      </c>
      <c r="L24">
        <v>724.5</v>
      </c>
      <c r="M24">
        <v>483.76</v>
      </c>
      <c r="N24">
        <v>1551.72</v>
      </c>
      <c r="O24">
        <v>599.47</v>
      </c>
      <c r="P24">
        <v>545.91</v>
      </c>
      <c r="Q24">
        <v>743.12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tr">
        <v>CLAUDIO</v>
      </c>
      <c r="B25" t="str">
        <v>HIDRAULICAS</v>
      </c>
      <c r="C25">
        <v>2452.19</v>
      </c>
      <c r="D25">
        <v>4840.8500000000004</v>
      </c>
      <c r="E25">
        <v>19.600000000000001</v>
      </c>
      <c r="F25">
        <v>1020.78</v>
      </c>
      <c r="G25">
        <v>3355.29</v>
      </c>
      <c r="H25">
        <v>2682.2</v>
      </c>
      <c r="I25">
        <v>8062.75</v>
      </c>
      <c r="J25">
        <v>982.62</v>
      </c>
      <c r="K25">
        <v>8335.9</v>
      </c>
      <c r="L25">
        <v>1499.56</v>
      </c>
      <c r="M25">
        <v>543.44000000000005</v>
      </c>
      <c r="N25">
        <v>2584.63</v>
      </c>
      <c r="O25">
        <v>963.68</v>
      </c>
      <c r="P25">
        <v>573.30999999999995</v>
      </c>
      <c r="Q25">
        <v>445.85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tr">
        <v>CLAUDIO</v>
      </c>
      <c r="B26" t="str">
        <v>ILUMINAÇÃO</v>
      </c>
      <c r="C26">
        <v>25</v>
      </c>
      <c r="D26">
        <v>0</v>
      </c>
      <c r="E26">
        <v>378.79</v>
      </c>
      <c r="F26">
        <v>148.1</v>
      </c>
      <c r="G26">
        <v>103.99</v>
      </c>
      <c r="H26">
        <v>11.9</v>
      </c>
      <c r="I26">
        <v>149.29</v>
      </c>
      <c r="J26">
        <v>240.9</v>
      </c>
      <c r="K26">
        <v>258.89999999999998</v>
      </c>
      <c r="L26">
        <v>117.84</v>
      </c>
      <c r="M26">
        <v>119.1</v>
      </c>
      <c r="N26">
        <v>80.7</v>
      </c>
      <c r="O26">
        <v>51.99</v>
      </c>
      <c r="P26">
        <v>39.4</v>
      </c>
      <c r="Q26">
        <v>76.3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tr">
        <v>CLAUDIO</v>
      </c>
      <c r="B27" t="str">
        <v>JARDINAGEM   *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tr">
        <v>CLAUDIO</v>
      </c>
      <c r="B28" t="str">
        <v>LAZER</v>
      </c>
      <c r="C28">
        <v>243.45</v>
      </c>
      <c r="D28">
        <v>979.7</v>
      </c>
      <c r="E28">
        <v>155.6</v>
      </c>
      <c r="F28">
        <v>89.75</v>
      </c>
      <c r="G28">
        <v>77.95</v>
      </c>
      <c r="H28">
        <v>21.9</v>
      </c>
      <c r="I28">
        <v>138.34</v>
      </c>
      <c r="J28">
        <v>429.37</v>
      </c>
      <c r="K28">
        <v>245.84</v>
      </c>
      <c r="L28">
        <v>405.06</v>
      </c>
      <c r="M28">
        <v>37.799999999999997</v>
      </c>
      <c r="N28">
        <v>1397.84</v>
      </c>
      <c r="O28">
        <v>213.94</v>
      </c>
      <c r="P28">
        <v>95.9</v>
      </c>
      <c r="Q28">
        <v>1000.25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tr">
        <v>CLAUDIO</v>
      </c>
      <c r="B29" t="str">
        <v>LOUÇAS</v>
      </c>
      <c r="C29">
        <v>0</v>
      </c>
      <c r="D29">
        <v>0</v>
      </c>
      <c r="E29">
        <v>499.9</v>
      </c>
      <c r="F29">
        <v>0</v>
      </c>
      <c r="G29">
        <v>265.8</v>
      </c>
      <c r="H29">
        <v>100</v>
      </c>
      <c r="I29">
        <v>0</v>
      </c>
      <c r="J29">
        <v>0</v>
      </c>
      <c r="K29">
        <v>258.89999999999998</v>
      </c>
      <c r="L29">
        <v>10390</v>
      </c>
      <c r="M29">
        <v>0</v>
      </c>
      <c r="N29">
        <v>0</v>
      </c>
      <c r="O29">
        <v>155.9</v>
      </c>
      <c r="P29">
        <v>404.9</v>
      </c>
      <c r="Q29">
        <v>861.25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tr">
        <v>CLAUDIO</v>
      </c>
      <c r="B30" t="str">
        <v>MATERIAIS BÁSICOS</v>
      </c>
      <c r="C30">
        <v>29773.06</v>
      </c>
      <c r="D30">
        <v>16444.8</v>
      </c>
      <c r="E30">
        <v>4175.0200000000004</v>
      </c>
      <c r="F30">
        <v>8201.9</v>
      </c>
      <c r="G30">
        <v>14164.3</v>
      </c>
      <c r="H30">
        <v>9761.5499999999993</v>
      </c>
      <c r="I30">
        <v>5236.51</v>
      </c>
      <c r="J30">
        <v>7913.12</v>
      </c>
      <c r="K30">
        <v>13640.17</v>
      </c>
      <c r="L30">
        <v>17600.080000000002</v>
      </c>
      <c r="M30">
        <v>2402.8000000000002</v>
      </c>
      <c r="N30">
        <v>860.75</v>
      </c>
      <c r="O30">
        <v>1664.01</v>
      </c>
      <c r="P30">
        <v>4848</v>
      </c>
      <c r="Q30">
        <v>378.3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tr">
        <v>CLAUDIO</v>
      </c>
      <c r="B31" t="str">
        <v>MATERIAIS ELETRICOS</v>
      </c>
      <c r="C31">
        <v>56.16</v>
      </c>
      <c r="D31">
        <v>38.799999999999997</v>
      </c>
      <c r="E31">
        <v>640.85</v>
      </c>
      <c r="F31">
        <v>459.78</v>
      </c>
      <c r="G31">
        <v>807.95</v>
      </c>
      <c r="H31">
        <v>1606.43</v>
      </c>
      <c r="I31">
        <v>625.97</v>
      </c>
      <c r="J31">
        <v>7499.86</v>
      </c>
      <c r="K31">
        <v>1695.9</v>
      </c>
      <c r="L31">
        <v>228.4</v>
      </c>
      <c r="M31">
        <v>345.05</v>
      </c>
      <c r="N31">
        <v>3840.98</v>
      </c>
      <c r="O31">
        <v>1644.31</v>
      </c>
      <c r="P31">
        <v>2100.16</v>
      </c>
      <c r="Q31">
        <v>1455.22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tr">
        <v>CLAUDIO</v>
      </c>
      <c r="B32" t="str">
        <v>METAIS</v>
      </c>
      <c r="C32">
        <v>77.77</v>
      </c>
      <c r="D32">
        <v>41</v>
      </c>
      <c r="E32">
        <v>159.6</v>
      </c>
      <c r="F32">
        <v>345.55</v>
      </c>
      <c r="G32">
        <v>172.8</v>
      </c>
      <c r="H32">
        <v>390.45</v>
      </c>
      <c r="I32">
        <v>166.2</v>
      </c>
      <c r="J32">
        <v>328.5</v>
      </c>
      <c r="K32">
        <v>437.51</v>
      </c>
      <c r="L32">
        <v>942.9</v>
      </c>
      <c r="M32">
        <v>341.21</v>
      </c>
      <c r="N32">
        <v>213.35</v>
      </c>
      <c r="O32">
        <v>251.68</v>
      </c>
      <c r="P32">
        <v>530.04</v>
      </c>
      <c r="Q32">
        <v>903.91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tr">
        <v>CLAUDIO</v>
      </c>
      <c r="B33" t="str">
        <v>MOVEIS</v>
      </c>
      <c r="C33">
        <v>43</v>
      </c>
      <c r="D33">
        <v>0</v>
      </c>
      <c r="E33">
        <v>0</v>
      </c>
      <c r="F33">
        <v>0</v>
      </c>
      <c r="G33">
        <v>0</v>
      </c>
      <c r="H33">
        <v>0</v>
      </c>
      <c r="I33">
        <v>852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569.79999999999995</v>
      </c>
      <c r="Q33">
        <v>1051.9100000000001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tr">
        <v>CLAUDIO</v>
      </c>
      <c r="B34" t="str">
        <v>PINTURA</v>
      </c>
      <c r="C34">
        <v>898.3</v>
      </c>
      <c r="D34">
        <v>549.05999999999995</v>
      </c>
      <c r="E34">
        <v>658.92</v>
      </c>
      <c r="F34">
        <v>826.9</v>
      </c>
      <c r="G34">
        <v>190.27</v>
      </c>
      <c r="H34">
        <v>837.15</v>
      </c>
      <c r="I34">
        <v>965.58</v>
      </c>
      <c r="J34">
        <v>994.47</v>
      </c>
      <c r="K34">
        <v>3088.14</v>
      </c>
      <c r="L34">
        <v>140.02000000000001</v>
      </c>
      <c r="M34">
        <v>472.85</v>
      </c>
      <c r="N34">
        <v>810.21</v>
      </c>
      <c r="O34">
        <v>508.18</v>
      </c>
      <c r="P34">
        <v>86.7</v>
      </c>
      <c r="Q34">
        <v>299.55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tr">
        <v>CLAUDIO</v>
      </c>
      <c r="B35" t="str">
        <v>PISOS E REVESTIMENTOS</v>
      </c>
      <c r="C35">
        <v>583.27</v>
      </c>
      <c r="D35">
        <v>33.799999999999997</v>
      </c>
      <c r="E35">
        <v>25.2</v>
      </c>
      <c r="F35">
        <v>11810.83</v>
      </c>
      <c r="G35">
        <v>3968.08</v>
      </c>
      <c r="H35">
        <v>1014.64</v>
      </c>
      <c r="I35">
        <v>349.8</v>
      </c>
      <c r="J35">
        <v>1183.92</v>
      </c>
      <c r="K35">
        <v>6696.62</v>
      </c>
      <c r="L35">
        <v>419.03</v>
      </c>
      <c r="M35">
        <v>1440.49</v>
      </c>
      <c r="N35">
        <v>4377.0600000000004</v>
      </c>
      <c r="O35">
        <v>548.19000000000005</v>
      </c>
      <c r="P35">
        <v>758.05</v>
      </c>
      <c r="Q35">
        <v>371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tr">
        <v>CLAUDIO</v>
      </c>
      <c r="B36" t="str">
        <v>PRATELEIRA  *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tr">
        <v>CLAUDIO</v>
      </c>
      <c r="B37" t="str">
        <v>ULTILIDADES DOMESTICAS  *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tr">
        <v>CLAUDIO</v>
      </c>
      <c r="B38" t="str">
        <v>zFERRAMENTAS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tr">
        <v>CLAUDIO</v>
      </c>
      <c r="B39" t="str">
        <v>zMATERIAIS BASICOS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tr">
        <v>CLAUDIO</v>
      </c>
      <c r="B40" t="str">
        <v>zPARAFUSOS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tr">
        <v>CLAUDEMIR</v>
      </c>
      <c r="B43" t="str">
        <v>ACABAMENTO  **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tr">
        <v>CLAUDEMIR</v>
      </c>
      <c r="B44" t="str">
        <v>COBERTURA</v>
      </c>
      <c r="C44">
        <v>0</v>
      </c>
      <c r="D44">
        <v>-65.900000000000006</v>
      </c>
      <c r="E44">
        <v>86.9</v>
      </c>
      <c r="F44">
        <v>4612.79</v>
      </c>
      <c r="G44">
        <v>2002</v>
      </c>
      <c r="H44">
        <v>1227.7</v>
      </c>
      <c r="I44">
        <v>498.75</v>
      </c>
      <c r="J44">
        <v>1318.31</v>
      </c>
      <c r="K44">
        <v>2606.31</v>
      </c>
      <c r="L44">
        <v>43.81</v>
      </c>
      <c r="M44">
        <v>166.38</v>
      </c>
      <c r="N44">
        <v>1933.3</v>
      </c>
      <c r="O44">
        <v>24.9</v>
      </c>
      <c r="P44">
        <v>292.04000000000002</v>
      </c>
      <c r="Q44">
        <v>3127.4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tr">
        <v>CLAUDEMIR</v>
      </c>
      <c r="B45" t="str">
        <v>ELETRICA     **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tr">
        <v>CLAUDEMIR</v>
      </c>
      <c r="B46" t="str">
        <v>ELETRODOMESTICOS   **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tr">
        <v>CLAUDEMIR</v>
      </c>
      <c r="B47" t="str">
        <v>ESQUADRIAS</v>
      </c>
      <c r="C47">
        <v>722.25</v>
      </c>
      <c r="D47">
        <v>0</v>
      </c>
      <c r="E47">
        <v>110.67</v>
      </c>
      <c r="F47">
        <v>182.09</v>
      </c>
      <c r="G47">
        <v>1046.8</v>
      </c>
      <c r="H47">
        <v>358.9</v>
      </c>
      <c r="I47">
        <v>730</v>
      </c>
      <c r="J47">
        <v>495.65</v>
      </c>
      <c r="K47">
        <v>808.86</v>
      </c>
      <c r="L47">
        <v>570.16999999999996</v>
      </c>
      <c r="M47">
        <v>711.5</v>
      </c>
      <c r="N47">
        <v>-229.3</v>
      </c>
      <c r="O47">
        <v>0</v>
      </c>
      <c r="P47">
        <v>962.3</v>
      </c>
      <c r="Q47">
        <v>419.6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tr">
        <v>CLAUDEMIR</v>
      </c>
      <c r="B48" t="str">
        <v>FERRAGENS</v>
      </c>
      <c r="C48">
        <v>209.12</v>
      </c>
      <c r="D48">
        <v>976.95</v>
      </c>
      <c r="E48">
        <v>850.93</v>
      </c>
      <c r="F48">
        <v>1117.1500000000001</v>
      </c>
      <c r="G48">
        <v>1370.51</v>
      </c>
      <c r="H48">
        <v>528.84</v>
      </c>
      <c r="I48">
        <v>1246.1500000000001</v>
      </c>
      <c r="J48">
        <v>928.67</v>
      </c>
      <c r="K48">
        <v>1622.01</v>
      </c>
      <c r="L48">
        <v>322.83</v>
      </c>
      <c r="M48">
        <v>314.75</v>
      </c>
      <c r="N48">
        <v>222.94</v>
      </c>
      <c r="O48">
        <v>423.9</v>
      </c>
      <c r="P48">
        <v>619.61</v>
      </c>
      <c r="Q48">
        <v>960.64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tr">
        <v>CLAUDEMIR</v>
      </c>
      <c r="B49" t="str">
        <v>FERRAMENTAS</v>
      </c>
      <c r="C49">
        <v>418.74</v>
      </c>
      <c r="D49">
        <v>831.68</v>
      </c>
      <c r="E49">
        <v>1377.01</v>
      </c>
      <c r="F49">
        <v>1780.54</v>
      </c>
      <c r="G49">
        <v>1433.75</v>
      </c>
      <c r="H49">
        <v>2493.92</v>
      </c>
      <c r="I49">
        <v>2768.02</v>
      </c>
      <c r="J49">
        <v>2509.02</v>
      </c>
      <c r="K49">
        <v>4050.64</v>
      </c>
      <c r="L49">
        <v>791.24</v>
      </c>
      <c r="M49">
        <v>633.63</v>
      </c>
      <c r="N49">
        <v>1518.69</v>
      </c>
      <c r="O49">
        <v>6771.6</v>
      </c>
      <c r="P49">
        <v>991.28</v>
      </c>
      <c r="Q49">
        <v>824.11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tr">
        <v>CLAUDEMIR</v>
      </c>
      <c r="B50" t="str">
        <v>HIDRAULICAS</v>
      </c>
      <c r="C50">
        <v>6.99</v>
      </c>
      <c r="D50">
        <v>1364.4</v>
      </c>
      <c r="E50">
        <v>1059.6500000000001</v>
      </c>
      <c r="F50">
        <v>2716.92</v>
      </c>
      <c r="G50">
        <v>1300.4000000000001</v>
      </c>
      <c r="H50">
        <v>2370.38</v>
      </c>
      <c r="I50">
        <v>2788.29</v>
      </c>
      <c r="J50">
        <v>1157.9000000000001</v>
      </c>
      <c r="K50">
        <v>6834.91</v>
      </c>
      <c r="L50">
        <v>610.48</v>
      </c>
      <c r="M50">
        <v>579.47</v>
      </c>
      <c r="N50">
        <v>1016.43</v>
      </c>
      <c r="O50">
        <v>1756.31</v>
      </c>
      <c r="P50">
        <v>491.91</v>
      </c>
      <c r="Q50">
        <v>1548.72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tr">
        <v>CLAUDEMIR</v>
      </c>
      <c r="B51" t="str">
        <v>ILUMINAÇÃO</v>
      </c>
      <c r="C51">
        <v>19.899999999999999</v>
      </c>
      <c r="D51">
        <v>124.7</v>
      </c>
      <c r="E51">
        <v>95.8</v>
      </c>
      <c r="F51">
        <v>133.94999999999999</v>
      </c>
      <c r="G51">
        <v>443.46</v>
      </c>
      <c r="H51">
        <v>162.55000000000001</v>
      </c>
      <c r="I51">
        <v>215.38</v>
      </c>
      <c r="J51">
        <v>244.7</v>
      </c>
      <c r="K51">
        <v>282.2</v>
      </c>
      <c r="L51">
        <v>18.36</v>
      </c>
      <c r="M51">
        <v>204.55</v>
      </c>
      <c r="N51">
        <v>159.46</v>
      </c>
      <c r="O51">
        <v>392.52</v>
      </c>
      <c r="P51">
        <v>65.3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tr">
        <v>CLAUDEMIR</v>
      </c>
      <c r="B52" t="str">
        <v>JARDINAGEM   *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tr">
        <v>CLAUDEMIR</v>
      </c>
      <c r="B53" t="str">
        <v>LAZER</v>
      </c>
      <c r="C53">
        <v>0</v>
      </c>
      <c r="D53">
        <v>782.18</v>
      </c>
      <c r="E53">
        <v>254.85</v>
      </c>
      <c r="F53">
        <v>-143.80000000000001</v>
      </c>
      <c r="G53">
        <v>48.3</v>
      </c>
      <c r="H53">
        <v>85.91</v>
      </c>
      <c r="I53">
        <v>530.04</v>
      </c>
      <c r="J53">
        <v>124.05</v>
      </c>
      <c r="K53">
        <v>899.6</v>
      </c>
      <c r="L53">
        <v>453.7</v>
      </c>
      <c r="M53">
        <v>184.1</v>
      </c>
      <c r="N53">
        <v>657.15</v>
      </c>
      <c r="O53">
        <v>475.55</v>
      </c>
      <c r="P53">
        <v>74.64</v>
      </c>
      <c r="Q53">
        <v>112.15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tr">
        <v>CLAUDEMIR</v>
      </c>
      <c r="B54" t="str">
        <v>LOUÇAS</v>
      </c>
      <c r="C54">
        <v>0</v>
      </c>
      <c r="D54">
        <v>199.9</v>
      </c>
      <c r="E54">
        <v>0</v>
      </c>
      <c r="F54">
        <v>118.9</v>
      </c>
      <c r="G54">
        <v>269.39</v>
      </c>
      <c r="H54">
        <v>0</v>
      </c>
      <c r="I54">
        <v>0</v>
      </c>
      <c r="J54">
        <v>144.16</v>
      </c>
      <c r="K54">
        <v>277.82</v>
      </c>
      <c r="L54">
        <v>499.9</v>
      </c>
      <c r="M54">
        <v>289.7</v>
      </c>
      <c r="N54">
        <v>0</v>
      </c>
      <c r="O54">
        <v>0</v>
      </c>
      <c r="P54">
        <v>0</v>
      </c>
      <c r="Q54">
        <v>-219.9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tr">
        <v>CLAUDEMIR</v>
      </c>
      <c r="B55" t="str">
        <v>MATERIAIS BÁSICOS</v>
      </c>
      <c r="C55">
        <v>640.20000000000005</v>
      </c>
      <c r="D55">
        <v>2861.52</v>
      </c>
      <c r="E55">
        <v>2163.06</v>
      </c>
      <c r="F55">
        <v>14895.47</v>
      </c>
      <c r="G55">
        <v>7221.43</v>
      </c>
      <c r="H55">
        <v>8661.9699999999993</v>
      </c>
      <c r="I55">
        <v>8716.82</v>
      </c>
      <c r="J55">
        <v>9578.0499999999993</v>
      </c>
      <c r="K55">
        <v>10543.94</v>
      </c>
      <c r="L55">
        <v>1022.5</v>
      </c>
      <c r="M55">
        <v>906.9</v>
      </c>
      <c r="N55">
        <v>1217.17</v>
      </c>
      <c r="O55">
        <v>6968.14</v>
      </c>
      <c r="P55">
        <v>743.18</v>
      </c>
      <c r="Q55">
        <v>6574.25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tr">
        <v>CLAUDEMIR</v>
      </c>
      <c r="B56" t="str">
        <v>MATERIAIS ELETRICOS</v>
      </c>
      <c r="C56">
        <v>285.38</v>
      </c>
      <c r="D56">
        <v>753.08</v>
      </c>
      <c r="E56">
        <v>2699.06</v>
      </c>
      <c r="F56">
        <v>1537.11</v>
      </c>
      <c r="G56">
        <v>838.89</v>
      </c>
      <c r="H56">
        <v>1683.3</v>
      </c>
      <c r="I56">
        <v>2623.43</v>
      </c>
      <c r="J56">
        <v>1695.29</v>
      </c>
      <c r="K56">
        <v>1790.44</v>
      </c>
      <c r="L56">
        <v>492.98</v>
      </c>
      <c r="M56">
        <v>722.78</v>
      </c>
      <c r="N56">
        <v>806.29</v>
      </c>
      <c r="O56">
        <v>351.6</v>
      </c>
      <c r="P56">
        <v>1244.1199999999999</v>
      </c>
      <c r="Q56">
        <v>180.6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tr">
        <v>CLAUDEMIR</v>
      </c>
      <c r="B57" t="str">
        <v>METAIS</v>
      </c>
      <c r="C57">
        <v>0</v>
      </c>
      <c r="D57">
        <v>-42.57</v>
      </c>
      <c r="E57">
        <v>-72.8</v>
      </c>
      <c r="F57">
        <v>294.8</v>
      </c>
      <c r="G57">
        <v>448.1</v>
      </c>
      <c r="H57">
        <v>900.03</v>
      </c>
      <c r="I57">
        <v>9.75</v>
      </c>
      <c r="J57">
        <v>270.47000000000003</v>
      </c>
      <c r="K57">
        <v>526.5</v>
      </c>
      <c r="L57">
        <v>86.4</v>
      </c>
      <c r="M57">
        <v>188.05</v>
      </c>
      <c r="N57">
        <v>145.5</v>
      </c>
      <c r="O57">
        <v>275.2</v>
      </c>
      <c r="P57">
        <v>321.42</v>
      </c>
      <c r="Q57">
        <v>681.73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tr">
        <v>CLAUDEMIR</v>
      </c>
      <c r="B58" t="str">
        <v>MOVEIS</v>
      </c>
      <c r="C58">
        <v>0</v>
      </c>
      <c r="D58">
        <v>0</v>
      </c>
      <c r="E58">
        <v>0</v>
      </c>
      <c r="F58">
        <v>750</v>
      </c>
      <c r="G58">
        <v>0</v>
      </c>
      <c r="H58">
        <v>1096.03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1075.8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tr">
        <v>CLAUDEMIR</v>
      </c>
      <c r="B59" t="str">
        <v>PINTURA</v>
      </c>
      <c r="C59">
        <v>657.6</v>
      </c>
      <c r="D59">
        <v>503.81</v>
      </c>
      <c r="E59">
        <v>316.67</v>
      </c>
      <c r="F59">
        <v>920.2</v>
      </c>
      <c r="G59">
        <v>1236.23</v>
      </c>
      <c r="H59">
        <v>740.14</v>
      </c>
      <c r="I59">
        <v>1469.82</v>
      </c>
      <c r="J59">
        <v>1526.27</v>
      </c>
      <c r="K59">
        <v>2065.34</v>
      </c>
      <c r="L59">
        <v>1147.17</v>
      </c>
      <c r="M59">
        <v>352.21</v>
      </c>
      <c r="N59">
        <v>1353.12</v>
      </c>
      <c r="O59">
        <v>1453.89</v>
      </c>
      <c r="P59">
        <v>652.88</v>
      </c>
      <c r="Q59">
        <v>322.99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tr">
        <v>CLAUDEMIR</v>
      </c>
      <c r="B60" t="str">
        <v>PISOS E REVESTIMENTOS</v>
      </c>
      <c r="C60">
        <v>56.55</v>
      </c>
      <c r="D60">
        <v>625.80999999999995</v>
      </c>
      <c r="E60">
        <v>3045.56</v>
      </c>
      <c r="F60">
        <v>303.10000000000002</v>
      </c>
      <c r="G60">
        <v>735.53</v>
      </c>
      <c r="H60">
        <v>1784.01</v>
      </c>
      <c r="I60">
        <v>757.64</v>
      </c>
      <c r="J60">
        <v>1455.28</v>
      </c>
      <c r="K60">
        <v>2992.27</v>
      </c>
      <c r="L60">
        <v>1553.16</v>
      </c>
      <c r="M60">
        <v>583.05999999999995</v>
      </c>
      <c r="N60">
        <v>1816.43</v>
      </c>
      <c r="O60">
        <v>87.73</v>
      </c>
      <c r="P60">
        <v>261.3</v>
      </c>
      <c r="Q60">
        <v>809.13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tr">
        <v>CLAUDEMIR</v>
      </c>
      <c r="B61" t="str">
        <v>PRATELEIRA  *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tr">
        <v>CLAUDEMIR</v>
      </c>
      <c r="B62" t="str">
        <v>ULTILIDADES DOMESTICAS  *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tr">
        <v>CLAUDEMIR</v>
      </c>
      <c r="B63" t="str">
        <v>zFERRAMENTAS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tr">
        <v>CLAUDEMIR</v>
      </c>
      <c r="B64" t="str">
        <v>zMATERIAIS BASICOS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tr">
        <v>CLAUDEMIR</v>
      </c>
      <c r="B65" t="str">
        <v>zPARAFUSOS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tr">
        <v>ANDREIA</v>
      </c>
      <c r="B68" t="str">
        <v>ACABAMENTO  **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tr">
        <v>ANDREIA</v>
      </c>
      <c r="B69" t="str">
        <v>COBERTURA</v>
      </c>
      <c r="C69">
        <v>2370.59</v>
      </c>
      <c r="D69">
        <v>4073.03</v>
      </c>
      <c r="E69">
        <v>3575.94</v>
      </c>
      <c r="F69">
        <v>2045.29</v>
      </c>
      <c r="G69">
        <v>1254.8499999999999</v>
      </c>
      <c r="H69">
        <v>2236.81</v>
      </c>
      <c r="I69">
        <v>306.3</v>
      </c>
      <c r="J69">
        <v>4139.87</v>
      </c>
      <c r="K69">
        <v>3313.91</v>
      </c>
      <c r="L69">
        <v>1763.04</v>
      </c>
      <c r="M69">
        <v>1299.93</v>
      </c>
      <c r="N69">
        <v>2614.9</v>
      </c>
      <c r="O69">
        <v>1528.85</v>
      </c>
      <c r="P69">
        <v>2994.32</v>
      </c>
      <c r="Q69">
        <v>1477.89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tr">
        <v>ANDREIA</v>
      </c>
      <c r="B70" t="str">
        <v>ELETRICA     **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tr">
        <v>ANDREIA</v>
      </c>
      <c r="B71" t="str">
        <v>ELETRODOMESTICOS   **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tr">
        <v>ANDREIA</v>
      </c>
      <c r="B72" t="str">
        <v>ESQUADRIAS</v>
      </c>
      <c r="C72">
        <v>626.69000000000005</v>
      </c>
      <c r="D72">
        <v>1152.5</v>
      </c>
      <c r="E72">
        <v>2031.63</v>
      </c>
      <c r="F72">
        <v>2510.1799999999998</v>
      </c>
      <c r="G72">
        <v>1753.45</v>
      </c>
      <c r="H72">
        <v>209.91</v>
      </c>
      <c r="I72">
        <v>2929.56</v>
      </c>
      <c r="J72">
        <v>2294.9</v>
      </c>
      <c r="K72">
        <v>1941.55</v>
      </c>
      <c r="L72">
        <v>398.8</v>
      </c>
      <c r="M72">
        <v>329.8</v>
      </c>
      <c r="N72">
        <v>451.9</v>
      </c>
      <c r="O72">
        <v>806.7</v>
      </c>
      <c r="P72">
        <v>699.1</v>
      </c>
      <c r="Q72">
        <v>1507.5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tr">
        <v>ANDREIA</v>
      </c>
      <c r="B73" t="str">
        <v>FERRAGENS</v>
      </c>
      <c r="C73">
        <v>1480.32</v>
      </c>
      <c r="D73">
        <v>1033.6600000000001</v>
      </c>
      <c r="E73">
        <v>2482.75</v>
      </c>
      <c r="F73">
        <v>1187.9100000000001</v>
      </c>
      <c r="G73">
        <v>2578.89</v>
      </c>
      <c r="H73">
        <v>1882.51</v>
      </c>
      <c r="I73">
        <v>1976.19</v>
      </c>
      <c r="J73">
        <v>1680.31</v>
      </c>
      <c r="K73">
        <v>2671.01</v>
      </c>
      <c r="L73">
        <v>766.05</v>
      </c>
      <c r="M73">
        <v>891.98</v>
      </c>
      <c r="N73">
        <v>1439.2</v>
      </c>
      <c r="O73">
        <v>2564.08</v>
      </c>
      <c r="P73">
        <v>939.09</v>
      </c>
      <c r="Q73">
        <v>626.61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tr">
        <v>ANDREIA</v>
      </c>
      <c r="B74" t="str">
        <v>FERRAMENTAS</v>
      </c>
      <c r="C74">
        <v>2443.38</v>
      </c>
      <c r="D74">
        <v>2382.92</v>
      </c>
      <c r="E74">
        <v>4020.94</v>
      </c>
      <c r="F74">
        <v>4805.75</v>
      </c>
      <c r="G74">
        <v>2895.27</v>
      </c>
      <c r="H74">
        <v>2676.42</v>
      </c>
      <c r="I74">
        <v>2379.6999999999998</v>
      </c>
      <c r="J74">
        <v>2265.33</v>
      </c>
      <c r="K74">
        <v>7823.67</v>
      </c>
      <c r="L74">
        <v>1972.65</v>
      </c>
      <c r="M74">
        <v>1646.29</v>
      </c>
      <c r="N74">
        <v>1764.97</v>
      </c>
      <c r="O74">
        <v>3205.26</v>
      </c>
      <c r="P74">
        <v>1279.22</v>
      </c>
      <c r="Q74">
        <v>2189.0700000000002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tr">
        <v>ANDREIA</v>
      </c>
      <c r="B75" t="str">
        <v>HIDRAULICAS</v>
      </c>
      <c r="C75">
        <v>2568.3000000000002</v>
      </c>
      <c r="D75">
        <v>2662.13</v>
      </c>
      <c r="E75">
        <v>2652.34</v>
      </c>
      <c r="F75">
        <v>2508.92</v>
      </c>
      <c r="G75">
        <v>10577.55</v>
      </c>
      <c r="H75">
        <v>1891.77</v>
      </c>
      <c r="I75">
        <v>4017.19</v>
      </c>
      <c r="J75">
        <v>3201.7</v>
      </c>
      <c r="K75">
        <v>13339.7</v>
      </c>
      <c r="L75">
        <v>1813.49</v>
      </c>
      <c r="M75">
        <v>6104.39</v>
      </c>
      <c r="N75">
        <v>2660.44</v>
      </c>
      <c r="O75">
        <v>5782.77</v>
      </c>
      <c r="P75">
        <v>1332.67</v>
      </c>
      <c r="Q75">
        <v>2194.5300000000002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tr">
        <v>ANDREIA</v>
      </c>
      <c r="B76" t="str">
        <v>ILUMINAÇÃO</v>
      </c>
      <c r="C76">
        <v>102.26</v>
      </c>
      <c r="D76">
        <v>486.69</v>
      </c>
      <c r="E76">
        <v>96.75</v>
      </c>
      <c r="F76">
        <v>666.87</v>
      </c>
      <c r="G76">
        <v>237.65</v>
      </c>
      <c r="H76">
        <v>217.07</v>
      </c>
      <c r="I76">
        <v>158.05000000000001</v>
      </c>
      <c r="J76">
        <v>131.44999999999999</v>
      </c>
      <c r="K76">
        <v>307.70999999999998</v>
      </c>
      <c r="L76">
        <v>118.8</v>
      </c>
      <c r="M76">
        <v>62.5</v>
      </c>
      <c r="N76">
        <v>109.42</v>
      </c>
      <c r="O76">
        <v>360.6</v>
      </c>
      <c r="P76">
        <v>158.19999999999999</v>
      </c>
      <c r="Q76">
        <v>435.32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tr">
        <v>ANDREIA</v>
      </c>
      <c r="B77" t="str">
        <v>JARDINAGEM   *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tr">
        <v>ANDREIA</v>
      </c>
      <c r="B78" t="str">
        <v>LAZER</v>
      </c>
      <c r="C78">
        <v>406.45</v>
      </c>
      <c r="D78">
        <v>422.13</v>
      </c>
      <c r="E78">
        <v>516.20000000000005</v>
      </c>
      <c r="F78">
        <v>3804.35</v>
      </c>
      <c r="G78">
        <v>271.82</v>
      </c>
      <c r="H78">
        <v>269.8</v>
      </c>
      <c r="I78">
        <v>136.55000000000001</v>
      </c>
      <c r="J78">
        <v>254.6</v>
      </c>
      <c r="K78">
        <v>1793.91</v>
      </c>
      <c r="L78">
        <v>134.85</v>
      </c>
      <c r="M78">
        <v>1882.74</v>
      </c>
      <c r="N78">
        <v>491.95</v>
      </c>
      <c r="O78">
        <v>276.93</v>
      </c>
      <c r="P78">
        <v>209.83</v>
      </c>
      <c r="Q78">
        <v>94.6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tr">
        <v>ANDREIA</v>
      </c>
      <c r="B79" t="str">
        <v>LOUÇAS</v>
      </c>
      <c r="C79">
        <v>318.55</v>
      </c>
      <c r="D79">
        <v>90.8</v>
      </c>
      <c r="E79">
        <v>195.9</v>
      </c>
      <c r="F79">
        <v>1142.72</v>
      </c>
      <c r="G79">
        <v>194.8</v>
      </c>
      <c r="H79">
        <v>848.8</v>
      </c>
      <c r="I79">
        <v>0</v>
      </c>
      <c r="J79">
        <v>122.9</v>
      </c>
      <c r="K79">
        <v>555.79999999999995</v>
      </c>
      <c r="L79">
        <v>733.2</v>
      </c>
      <c r="M79">
        <v>0</v>
      </c>
      <c r="N79">
        <v>699.6</v>
      </c>
      <c r="O79">
        <v>159.9</v>
      </c>
      <c r="P79">
        <v>955.8</v>
      </c>
      <c r="Q79">
        <v>296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tr">
        <v>ANDREIA</v>
      </c>
      <c r="B80" t="str">
        <v>MATERIAIS BÁSICOS</v>
      </c>
      <c r="C80">
        <v>12590.93</v>
      </c>
      <c r="D80">
        <v>6948.53</v>
      </c>
      <c r="E80">
        <v>7223.5</v>
      </c>
      <c r="F80">
        <v>19150.88</v>
      </c>
      <c r="G80">
        <v>20855.439999999999</v>
      </c>
      <c r="H80">
        <v>17036.8</v>
      </c>
      <c r="I80">
        <v>6820.11</v>
      </c>
      <c r="J80">
        <v>18856.46</v>
      </c>
      <c r="K80">
        <v>65043.44</v>
      </c>
      <c r="L80">
        <v>8492.7099999999991</v>
      </c>
      <c r="M80">
        <v>5694.87</v>
      </c>
      <c r="N80">
        <v>11369.04</v>
      </c>
      <c r="O80">
        <v>7670.07</v>
      </c>
      <c r="P80">
        <v>4758.8500000000004</v>
      </c>
      <c r="Q80">
        <v>8502.61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tr">
        <v>ANDREIA</v>
      </c>
      <c r="B81" t="str">
        <v>MATERIAIS ELETRICOS</v>
      </c>
      <c r="C81">
        <v>2484.4699999999998</v>
      </c>
      <c r="D81">
        <v>1434.67</v>
      </c>
      <c r="E81">
        <v>1922.86</v>
      </c>
      <c r="F81">
        <v>1417.04</v>
      </c>
      <c r="G81">
        <v>2710.67</v>
      </c>
      <c r="H81">
        <v>2514.0500000000002</v>
      </c>
      <c r="I81">
        <v>4130.58</v>
      </c>
      <c r="J81">
        <v>1330.96</v>
      </c>
      <c r="K81">
        <v>2775.33</v>
      </c>
      <c r="L81">
        <v>2115.17</v>
      </c>
      <c r="M81">
        <v>2674.79</v>
      </c>
      <c r="N81">
        <v>1285.6500000000001</v>
      </c>
      <c r="O81">
        <v>3574.39</v>
      </c>
      <c r="P81">
        <v>2196.5100000000002</v>
      </c>
      <c r="Q81">
        <v>980.88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tr">
        <v>ANDREIA</v>
      </c>
      <c r="B82" t="str">
        <v>METAIS</v>
      </c>
      <c r="C82">
        <v>1330.15</v>
      </c>
      <c r="D82">
        <v>547.29999999999995</v>
      </c>
      <c r="E82">
        <v>904.02</v>
      </c>
      <c r="F82">
        <v>228.49</v>
      </c>
      <c r="G82">
        <v>871.58</v>
      </c>
      <c r="H82">
        <v>409.49</v>
      </c>
      <c r="I82">
        <v>915.5</v>
      </c>
      <c r="J82">
        <v>734.75</v>
      </c>
      <c r="K82">
        <v>1572.51</v>
      </c>
      <c r="L82">
        <v>479.98</v>
      </c>
      <c r="M82">
        <v>596.55999999999995</v>
      </c>
      <c r="N82">
        <v>639.36</v>
      </c>
      <c r="O82">
        <v>799.37</v>
      </c>
      <c r="P82">
        <v>602.27</v>
      </c>
      <c r="Q82">
        <v>722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tr">
        <v>ANDREIA</v>
      </c>
      <c r="B83" t="str">
        <v>MOVEIS</v>
      </c>
      <c r="C83">
        <v>1671.6</v>
      </c>
      <c r="D83">
        <v>35.700000000000003</v>
      </c>
      <c r="E83">
        <v>0</v>
      </c>
      <c r="F83">
        <v>2196.0700000000002</v>
      </c>
      <c r="G83">
        <v>489.9</v>
      </c>
      <c r="H83">
        <v>240.53</v>
      </c>
      <c r="I83">
        <v>-46.95</v>
      </c>
      <c r="J83">
        <v>0</v>
      </c>
      <c r="K83">
        <v>2114.6999999999998</v>
      </c>
      <c r="L83">
        <v>1399.7</v>
      </c>
      <c r="M83">
        <v>229.8</v>
      </c>
      <c r="N83">
        <v>1137.4000000000001</v>
      </c>
      <c r="O83">
        <v>0</v>
      </c>
      <c r="P83">
        <v>0</v>
      </c>
      <c r="Q83">
        <v>2.0299999999999998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tr">
        <v>ANDREIA</v>
      </c>
      <c r="B84" t="str">
        <v>PINTURA</v>
      </c>
      <c r="C84">
        <v>1615.02</v>
      </c>
      <c r="D84">
        <v>1301.29</v>
      </c>
      <c r="E84">
        <v>1969.38</v>
      </c>
      <c r="F84">
        <v>2982.85</v>
      </c>
      <c r="G84">
        <v>2487.58</v>
      </c>
      <c r="H84">
        <v>1797.63</v>
      </c>
      <c r="I84">
        <v>2449.6799999999998</v>
      </c>
      <c r="J84">
        <v>1705.81</v>
      </c>
      <c r="K84">
        <v>3319.86</v>
      </c>
      <c r="L84">
        <v>1335.47</v>
      </c>
      <c r="M84">
        <v>1185.75</v>
      </c>
      <c r="N84">
        <v>1358.01</v>
      </c>
      <c r="O84">
        <v>2160.71</v>
      </c>
      <c r="P84">
        <v>2194.29</v>
      </c>
      <c r="Q84">
        <v>1546.27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tr">
        <v>ANDREIA</v>
      </c>
      <c r="B85" t="str">
        <v>PISOS E REVESTIMENTOS</v>
      </c>
      <c r="C85">
        <v>2096.56</v>
      </c>
      <c r="D85">
        <v>1064.18</v>
      </c>
      <c r="E85">
        <v>3537.15</v>
      </c>
      <c r="F85">
        <v>10320.799999999999</v>
      </c>
      <c r="G85">
        <v>7327.37</v>
      </c>
      <c r="H85">
        <v>3913.21</v>
      </c>
      <c r="I85">
        <v>940.11</v>
      </c>
      <c r="J85">
        <v>1325.53</v>
      </c>
      <c r="K85">
        <v>13667.38</v>
      </c>
      <c r="L85">
        <v>1686.56</v>
      </c>
      <c r="M85">
        <v>5385.34</v>
      </c>
      <c r="N85">
        <v>4721.6499999999996</v>
      </c>
      <c r="O85">
        <v>5356.76</v>
      </c>
      <c r="P85">
        <v>3388.07</v>
      </c>
      <c r="Q85">
        <v>3638.36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tr">
        <v>ANDREIA</v>
      </c>
      <c r="B86" t="str">
        <v>PRATELEIRA  *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tr">
        <v>ANDREIA</v>
      </c>
      <c r="B87" t="str">
        <v>ULTILIDADES DOMESTICAS  *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tr">
        <v>ANDREIA</v>
      </c>
      <c r="B88" t="str">
        <v>zFERRAMENTAS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tr">
        <v>ANDREIA</v>
      </c>
      <c r="B89" t="str">
        <v>zMATERIAIS BASICOS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tr">
        <v>ANDREIA</v>
      </c>
      <c r="B90" t="str">
        <v>zPARAFUSOS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tr">
        <v>SEBASTIAO</v>
      </c>
      <c r="B93" t="str">
        <v>ACABAMENTO  **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tr">
        <v>SEBASTIAO</v>
      </c>
      <c r="B94" t="str">
        <v>COBERTURA</v>
      </c>
      <c r="C94">
        <v>0</v>
      </c>
      <c r="D94">
        <v>132.69999999999999</v>
      </c>
      <c r="E94">
        <v>4.4000000000000004</v>
      </c>
      <c r="F94">
        <v>2.16</v>
      </c>
      <c r="G94">
        <v>0</v>
      </c>
      <c r="H94">
        <v>382.32</v>
      </c>
      <c r="I94">
        <v>263.31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tr">
        <v>SEBASTIAO</v>
      </c>
      <c r="B95" t="str">
        <v>ELETRICA     **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tr">
        <v>SEBASTIAO</v>
      </c>
      <c r="B96" t="str">
        <v>ELETRODOMESTICOS   **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tr">
        <v>SEBASTIAO</v>
      </c>
      <c r="B97" t="str">
        <v>ESQUADRIAS</v>
      </c>
      <c r="C97">
        <v>722.25</v>
      </c>
      <c r="D97">
        <v>0</v>
      </c>
      <c r="E97">
        <v>121.2</v>
      </c>
      <c r="F97">
        <v>-75.900000000000006</v>
      </c>
      <c r="G97">
        <v>0</v>
      </c>
      <c r="H97">
        <v>297.94</v>
      </c>
      <c r="I97">
        <v>360.93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444.48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tr">
        <v>SEBASTIAO</v>
      </c>
      <c r="B98" t="str">
        <v>FERRAGENS</v>
      </c>
      <c r="C98">
        <v>248.92</v>
      </c>
      <c r="D98">
        <v>174.7</v>
      </c>
      <c r="E98">
        <v>447.17</v>
      </c>
      <c r="F98">
        <v>434.26</v>
      </c>
      <c r="G98">
        <v>642.21</v>
      </c>
      <c r="H98">
        <v>710.41</v>
      </c>
      <c r="I98">
        <v>299.5</v>
      </c>
      <c r="J98">
        <v>48.67</v>
      </c>
      <c r="K98">
        <v>0</v>
      </c>
      <c r="L98">
        <v>0</v>
      </c>
      <c r="M98">
        <v>0</v>
      </c>
      <c r="N98">
        <v>0.1</v>
      </c>
      <c r="O98">
        <v>90.22</v>
      </c>
      <c r="P98">
        <v>34.020000000000003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tr">
        <v>SEBASTIAO</v>
      </c>
      <c r="B99" t="str">
        <v>FERRAMENTAS</v>
      </c>
      <c r="C99">
        <v>418.74</v>
      </c>
      <c r="D99">
        <v>786.13</v>
      </c>
      <c r="E99">
        <v>758.99</v>
      </c>
      <c r="F99">
        <v>657.03</v>
      </c>
      <c r="G99">
        <v>1014.3</v>
      </c>
      <c r="H99">
        <v>1736.46</v>
      </c>
      <c r="I99">
        <v>558</v>
      </c>
      <c r="J99">
        <v>377.34</v>
      </c>
      <c r="K99">
        <v>185.85</v>
      </c>
      <c r="L99">
        <v>0.01</v>
      </c>
      <c r="M99">
        <v>0.01</v>
      </c>
      <c r="N99">
        <v>0</v>
      </c>
      <c r="O99">
        <v>32.49</v>
      </c>
      <c r="P99">
        <v>78.959999999999994</v>
      </c>
      <c r="Q99">
        <v>242.74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tr">
        <v>SEBASTIAO</v>
      </c>
      <c r="B100" t="str">
        <v>HIDRAULICAS</v>
      </c>
      <c r="C100">
        <v>6.99</v>
      </c>
      <c r="D100">
        <v>714.27</v>
      </c>
      <c r="E100">
        <v>269.94</v>
      </c>
      <c r="F100">
        <v>708.67</v>
      </c>
      <c r="G100">
        <v>833.2</v>
      </c>
      <c r="H100">
        <v>2204.0300000000002</v>
      </c>
      <c r="I100">
        <v>543.79999999999995</v>
      </c>
      <c r="J100">
        <v>53.74</v>
      </c>
      <c r="K100">
        <v>27.43</v>
      </c>
      <c r="L100">
        <v>0</v>
      </c>
      <c r="M100">
        <v>0</v>
      </c>
      <c r="N100">
        <v>0</v>
      </c>
      <c r="O100">
        <v>-4.82</v>
      </c>
      <c r="P100">
        <v>8.5399999999999991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tr">
        <v>SEBASTIAO</v>
      </c>
      <c r="B101" t="str">
        <v>ILUMINAÇÃO</v>
      </c>
      <c r="C101">
        <v>19.899999999999999</v>
      </c>
      <c r="D101">
        <v>0</v>
      </c>
      <c r="E101">
        <v>10.7</v>
      </c>
      <c r="F101">
        <v>100.6</v>
      </c>
      <c r="G101">
        <v>63.2</v>
      </c>
      <c r="H101">
        <v>113.1</v>
      </c>
      <c r="I101">
        <v>272.76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tr">
        <v>SEBASTIAO</v>
      </c>
      <c r="B102" t="str">
        <v>JARDINAGEM   *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tr">
        <v>SEBASTIAO</v>
      </c>
      <c r="B103" t="str">
        <v>LAZER</v>
      </c>
      <c r="C103">
        <v>0</v>
      </c>
      <c r="D103">
        <v>52.5</v>
      </c>
      <c r="E103">
        <v>17.899999999999999</v>
      </c>
      <c r="F103">
        <v>139</v>
      </c>
      <c r="G103">
        <v>308.11</v>
      </c>
      <c r="H103">
        <v>109.3</v>
      </c>
      <c r="I103">
        <v>307.12</v>
      </c>
      <c r="J103">
        <v>13.9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tr">
        <v>SEBASTIAO</v>
      </c>
      <c r="B104" t="str">
        <v>LOUÇAS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tr">
        <v>SEBASTIAO</v>
      </c>
      <c r="B105" t="str">
        <v>MATERIAIS BÁSICOS</v>
      </c>
      <c r="C105">
        <v>6203.62</v>
      </c>
      <c r="D105">
        <v>852.45</v>
      </c>
      <c r="E105">
        <v>2332.4</v>
      </c>
      <c r="F105">
        <v>2283.31</v>
      </c>
      <c r="G105">
        <v>1574.55</v>
      </c>
      <c r="H105">
        <v>1311.03</v>
      </c>
      <c r="I105">
        <v>128.5</v>
      </c>
      <c r="J105">
        <v>379.38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tr">
        <v>SEBASTIAO</v>
      </c>
      <c r="B106" t="str">
        <v>MATERIAIS ELETRICOS</v>
      </c>
      <c r="C106">
        <v>285.38</v>
      </c>
      <c r="D106">
        <v>144.61000000000001</v>
      </c>
      <c r="E106">
        <v>1070.48</v>
      </c>
      <c r="F106">
        <v>775.55</v>
      </c>
      <c r="G106">
        <v>154.62</v>
      </c>
      <c r="H106">
        <v>633.79</v>
      </c>
      <c r="I106">
        <v>581.94000000000005</v>
      </c>
      <c r="J106">
        <v>167.53</v>
      </c>
      <c r="K106">
        <v>3.75</v>
      </c>
      <c r="L106">
        <v>0</v>
      </c>
      <c r="M106">
        <v>0</v>
      </c>
      <c r="N106">
        <v>0</v>
      </c>
      <c r="O106">
        <v>64.069999999999993</v>
      </c>
      <c r="P106">
        <v>4.96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tr">
        <v>SEBASTIAO</v>
      </c>
      <c r="B107" t="str">
        <v>METAIS</v>
      </c>
      <c r="C107">
        <v>0</v>
      </c>
      <c r="D107">
        <v>136.74</v>
      </c>
      <c r="E107">
        <v>118.3</v>
      </c>
      <c r="F107">
        <v>332</v>
      </c>
      <c r="G107">
        <v>119.91</v>
      </c>
      <c r="H107">
        <v>124.39</v>
      </c>
      <c r="I107">
        <v>13.9</v>
      </c>
      <c r="J107">
        <v>0</v>
      </c>
      <c r="K107">
        <v>17.12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tr">
        <v>SEBASTIAO</v>
      </c>
      <c r="B108" t="str">
        <v>MOVEIS</v>
      </c>
      <c r="C108">
        <v>0</v>
      </c>
      <c r="D108">
        <v>0</v>
      </c>
      <c r="E108">
        <v>0</v>
      </c>
      <c r="F108">
        <v>69.8</v>
      </c>
      <c r="G108">
        <v>0</v>
      </c>
      <c r="H108">
        <v>0</v>
      </c>
      <c r="I108">
        <v>0</v>
      </c>
      <c r="J108">
        <v>0</v>
      </c>
      <c r="K108">
        <v>230.36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tr">
        <v>SEBASTIAO</v>
      </c>
      <c r="B109" t="str">
        <v>PINTURA</v>
      </c>
      <c r="C109">
        <v>657.6</v>
      </c>
      <c r="D109">
        <v>420.74</v>
      </c>
      <c r="E109">
        <v>617.79999999999995</v>
      </c>
      <c r="F109">
        <v>232.5</v>
      </c>
      <c r="G109">
        <v>122.85</v>
      </c>
      <c r="H109">
        <v>443.44</v>
      </c>
      <c r="I109">
        <v>383.99</v>
      </c>
      <c r="J109">
        <v>149.07</v>
      </c>
      <c r="K109">
        <v>212.86</v>
      </c>
      <c r="L109">
        <v>0</v>
      </c>
      <c r="M109">
        <v>0</v>
      </c>
      <c r="N109">
        <v>0</v>
      </c>
      <c r="O109">
        <v>0</v>
      </c>
      <c r="P109">
        <v>115.09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tr">
        <v>SEBASTIAO</v>
      </c>
      <c r="B110" t="str">
        <v>PISOS E REVESTIMENTOS</v>
      </c>
      <c r="C110">
        <v>56.55</v>
      </c>
      <c r="D110">
        <v>238.16</v>
      </c>
      <c r="E110">
        <v>240.19</v>
      </c>
      <c r="F110">
        <v>369.5</v>
      </c>
      <c r="G110">
        <v>354.65</v>
      </c>
      <c r="H110">
        <v>208.39</v>
      </c>
      <c r="I110">
        <v>855.28</v>
      </c>
      <c r="J110">
        <v>1863.5</v>
      </c>
      <c r="K110">
        <v>-0.36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tr">
        <v>SEBASTIAO</v>
      </c>
      <c r="B111" t="str">
        <v>PRATELEIRA  *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tr">
        <v>SEBASTIAO</v>
      </c>
      <c r="B112" t="str">
        <v>ULTILIDADES DOMESTICAS  *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tr">
        <v>SEBASTIAO</v>
      </c>
      <c r="B113" t="str">
        <v>zFERRAMENTAS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tr">
        <v>SEBASTIAO</v>
      </c>
      <c r="B114" t="str">
        <v>zMATERIAIS BASICOS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tr">
        <v>SEBASTIAO</v>
      </c>
      <c r="B115" t="str">
        <v>zPARAFUSOS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tr">
        <v xml:space="preserve">FRANCISCO </v>
      </c>
      <c r="B118" t="str">
        <v>ACABAMENTO  **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tr">
        <v xml:space="preserve">FRANCISCO </v>
      </c>
      <c r="B119" t="str">
        <v>COBERTURA</v>
      </c>
      <c r="C119">
        <v>2213.0100000000002</v>
      </c>
      <c r="D119">
        <v>4675.72</v>
      </c>
      <c r="E119">
        <v>240</v>
      </c>
      <c r="F119">
        <v>566</v>
      </c>
      <c r="G119">
        <v>1799.15</v>
      </c>
      <c r="H119">
        <v>0</v>
      </c>
      <c r="I119">
        <v>117</v>
      </c>
      <c r="J119">
        <v>0</v>
      </c>
      <c r="K119">
        <v>5020.83</v>
      </c>
      <c r="L119">
        <v>1599.88</v>
      </c>
      <c r="M119">
        <v>935.22</v>
      </c>
      <c r="N119">
        <v>576.44000000000005</v>
      </c>
      <c r="O119">
        <v>335.6</v>
      </c>
      <c r="P119">
        <v>0</v>
      </c>
      <c r="Q119">
        <v>111.98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tr">
        <v xml:space="preserve">FRANCISCO </v>
      </c>
      <c r="B120" t="str">
        <v>ELETRICA     **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tr">
        <v xml:space="preserve">FRANCISCO </v>
      </c>
      <c r="B121" t="str">
        <v>ELETRODOMESTICOS   **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tr">
        <v xml:space="preserve">FRANCISCO </v>
      </c>
      <c r="B122" t="str">
        <v>ESQUADRIAS</v>
      </c>
      <c r="C122">
        <v>225.9</v>
      </c>
      <c r="D122">
        <v>5657.2</v>
      </c>
      <c r="E122">
        <v>0</v>
      </c>
      <c r="F122">
        <v>4122.33</v>
      </c>
      <c r="G122">
        <v>1319.9</v>
      </c>
      <c r="H122">
        <v>839.8</v>
      </c>
      <c r="I122">
        <v>143.02000000000001</v>
      </c>
      <c r="J122">
        <v>870.02</v>
      </c>
      <c r="K122">
        <v>7004.6</v>
      </c>
      <c r="L122">
        <v>18.899999999999999</v>
      </c>
      <c r="M122">
        <v>596.85</v>
      </c>
      <c r="N122">
        <v>0</v>
      </c>
      <c r="O122">
        <v>31.9</v>
      </c>
      <c r="P122">
        <v>0</v>
      </c>
      <c r="Q122">
        <v>350.03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tr">
        <v xml:space="preserve">FRANCISCO </v>
      </c>
      <c r="B123" t="str">
        <v>FERRAGENS</v>
      </c>
      <c r="C123">
        <v>305.39</v>
      </c>
      <c r="D123">
        <v>541.86</v>
      </c>
      <c r="E123">
        <v>679.11</v>
      </c>
      <c r="F123">
        <v>752.7</v>
      </c>
      <c r="G123">
        <v>439.21</v>
      </c>
      <c r="H123">
        <v>336.61</v>
      </c>
      <c r="I123">
        <v>528.22</v>
      </c>
      <c r="J123">
        <v>908.03</v>
      </c>
      <c r="K123">
        <v>664.21</v>
      </c>
      <c r="L123">
        <v>55.7</v>
      </c>
      <c r="M123">
        <v>157.56</v>
      </c>
      <c r="N123">
        <v>451.85</v>
      </c>
      <c r="O123">
        <v>203.03</v>
      </c>
      <c r="P123">
        <v>21.49</v>
      </c>
      <c r="Q123">
        <v>242.07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tr">
        <v xml:space="preserve">FRANCISCO </v>
      </c>
      <c r="B124" t="str">
        <v>FERRAMENTAS</v>
      </c>
      <c r="C124">
        <v>779.63</v>
      </c>
      <c r="D124">
        <v>725.17</v>
      </c>
      <c r="E124">
        <v>863.1</v>
      </c>
      <c r="F124">
        <v>825.76</v>
      </c>
      <c r="G124">
        <v>385.14</v>
      </c>
      <c r="H124">
        <v>1830.16</v>
      </c>
      <c r="I124">
        <v>917.36</v>
      </c>
      <c r="J124">
        <v>478.11</v>
      </c>
      <c r="K124">
        <v>2640.42</v>
      </c>
      <c r="L124">
        <v>233.44</v>
      </c>
      <c r="M124">
        <v>459.31</v>
      </c>
      <c r="N124">
        <v>296.06</v>
      </c>
      <c r="O124">
        <v>540.03</v>
      </c>
      <c r="P124">
        <v>215.71</v>
      </c>
      <c r="Q124">
        <v>726.81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tr">
        <v xml:space="preserve">FRANCISCO </v>
      </c>
      <c r="B125" t="str">
        <v>HIDRAULICAS</v>
      </c>
      <c r="C125">
        <v>6201.61</v>
      </c>
      <c r="D125">
        <v>327.8</v>
      </c>
      <c r="E125">
        <v>5766.45</v>
      </c>
      <c r="F125">
        <v>561.85</v>
      </c>
      <c r="G125">
        <v>4938.75</v>
      </c>
      <c r="H125">
        <v>896.28</v>
      </c>
      <c r="I125">
        <v>562.45000000000005</v>
      </c>
      <c r="J125">
        <v>605.48</v>
      </c>
      <c r="K125">
        <v>14213.67</v>
      </c>
      <c r="L125">
        <v>459.2</v>
      </c>
      <c r="M125">
        <v>1199.17</v>
      </c>
      <c r="N125">
        <v>501.05</v>
      </c>
      <c r="O125">
        <v>788.08</v>
      </c>
      <c r="P125">
        <v>251.25</v>
      </c>
      <c r="Q125">
        <v>1601.95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tr">
        <v xml:space="preserve">FRANCISCO </v>
      </c>
      <c r="B126" t="str">
        <v>ILUMINAÇÃO</v>
      </c>
      <c r="C126">
        <v>0</v>
      </c>
      <c r="D126">
        <v>0</v>
      </c>
      <c r="E126">
        <v>16.64</v>
      </c>
      <c r="F126">
        <v>181.8</v>
      </c>
      <c r="G126">
        <v>32.9</v>
      </c>
      <c r="H126">
        <v>0</v>
      </c>
      <c r="I126">
        <v>10.95</v>
      </c>
      <c r="J126">
        <v>1368.85</v>
      </c>
      <c r="K126">
        <v>19.260000000000002</v>
      </c>
      <c r="L126">
        <v>0</v>
      </c>
      <c r="M126">
        <v>73.47</v>
      </c>
      <c r="N126">
        <v>24.9</v>
      </c>
      <c r="O126">
        <v>349.1</v>
      </c>
      <c r="P126">
        <v>249.5</v>
      </c>
      <c r="Q126">
        <v>-20.85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tr">
        <v xml:space="preserve">FRANCISCO </v>
      </c>
      <c r="B127" t="str">
        <v>JARDINAGEM   *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tr">
        <v xml:space="preserve">FRANCISCO </v>
      </c>
      <c r="B128" t="str">
        <v>LAZER</v>
      </c>
      <c r="C128">
        <v>223.44</v>
      </c>
      <c r="D128">
        <v>59.14</v>
      </c>
      <c r="E128">
        <v>2540.4</v>
      </c>
      <c r="F128">
        <v>2348.4499999999998</v>
      </c>
      <c r="G128">
        <v>2437.25</v>
      </c>
      <c r="H128">
        <v>3941.8</v>
      </c>
      <c r="I128">
        <v>1264.05</v>
      </c>
      <c r="J128">
        <v>722.68</v>
      </c>
      <c r="K128">
        <v>656.38</v>
      </c>
      <c r="L128">
        <v>78.900000000000006</v>
      </c>
      <c r="M128">
        <v>168.15</v>
      </c>
      <c r="N128">
        <v>110.6</v>
      </c>
      <c r="O128">
        <v>19.79</v>
      </c>
      <c r="P128">
        <v>24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tr">
        <v xml:space="preserve">FRANCISCO </v>
      </c>
      <c r="B129" t="str">
        <v>LOUÇAS</v>
      </c>
      <c r="C129">
        <v>0</v>
      </c>
      <c r="D129">
        <v>4799.3999999999996</v>
      </c>
      <c r="E129">
        <v>0</v>
      </c>
      <c r="F129">
        <v>0</v>
      </c>
      <c r="G129">
        <v>0</v>
      </c>
      <c r="H129">
        <v>44.9</v>
      </c>
      <c r="I129">
        <v>0</v>
      </c>
      <c r="J129">
        <v>0</v>
      </c>
      <c r="K129">
        <v>159.9</v>
      </c>
      <c r="L129">
        <v>0</v>
      </c>
      <c r="M129">
        <v>744.62</v>
      </c>
      <c r="N129">
        <v>0</v>
      </c>
      <c r="O129">
        <v>7302.1</v>
      </c>
      <c r="P129">
        <v>0</v>
      </c>
      <c r="Q129">
        <v>219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tr">
        <v xml:space="preserve">FRANCISCO </v>
      </c>
      <c r="B130" t="str">
        <v>MATERIAIS BÁSICOS</v>
      </c>
      <c r="C130">
        <v>5616.73</v>
      </c>
      <c r="D130">
        <v>4431.74</v>
      </c>
      <c r="E130">
        <v>6198.62</v>
      </c>
      <c r="F130">
        <v>5450.22</v>
      </c>
      <c r="G130">
        <v>5077.3500000000004</v>
      </c>
      <c r="H130">
        <v>1991.5</v>
      </c>
      <c r="I130">
        <v>3590.14</v>
      </c>
      <c r="J130">
        <v>12002.97</v>
      </c>
      <c r="K130">
        <v>41631.86</v>
      </c>
      <c r="L130">
        <v>2954.45</v>
      </c>
      <c r="M130">
        <v>4573.26</v>
      </c>
      <c r="N130">
        <v>6116.88</v>
      </c>
      <c r="O130">
        <v>1184.6600000000001</v>
      </c>
      <c r="P130">
        <v>345.6</v>
      </c>
      <c r="Q130">
        <v>895.76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tr">
        <v xml:space="preserve">FRANCISCO </v>
      </c>
      <c r="B131" t="str">
        <v>MATERIAIS ELETRICOS</v>
      </c>
      <c r="C131">
        <v>315.89999999999998</v>
      </c>
      <c r="D131">
        <v>511.75</v>
      </c>
      <c r="E131">
        <v>793.73</v>
      </c>
      <c r="F131">
        <v>2599.48</v>
      </c>
      <c r="G131">
        <v>416.92</v>
      </c>
      <c r="H131">
        <v>461.31</v>
      </c>
      <c r="I131">
        <v>496.78</v>
      </c>
      <c r="J131">
        <v>196.96</v>
      </c>
      <c r="K131">
        <v>705.65</v>
      </c>
      <c r="L131">
        <v>721.43</v>
      </c>
      <c r="M131">
        <v>114.61</v>
      </c>
      <c r="N131">
        <v>250.3</v>
      </c>
      <c r="O131">
        <v>128.09</v>
      </c>
      <c r="P131">
        <v>576.95000000000005</v>
      </c>
      <c r="Q131">
        <v>-689.7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tr">
        <v xml:space="preserve">FRANCISCO </v>
      </c>
      <c r="B132" t="str">
        <v>METAIS</v>
      </c>
      <c r="C132">
        <v>134.30000000000001</v>
      </c>
      <c r="D132">
        <v>182.7</v>
      </c>
      <c r="E132">
        <v>395.45</v>
      </c>
      <c r="F132">
        <v>129.5</v>
      </c>
      <c r="G132">
        <v>146.72999999999999</v>
      </c>
      <c r="H132">
        <v>20</v>
      </c>
      <c r="I132">
        <v>328.28</v>
      </c>
      <c r="J132">
        <v>-196.7</v>
      </c>
      <c r="K132">
        <v>267.83999999999997</v>
      </c>
      <c r="L132">
        <v>17.899999999999999</v>
      </c>
      <c r="M132">
        <v>99.8</v>
      </c>
      <c r="N132">
        <v>103.7</v>
      </c>
      <c r="O132">
        <v>2245.8000000000002</v>
      </c>
      <c r="P132">
        <v>0</v>
      </c>
      <c r="Q132">
        <v>264.05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tr">
        <v xml:space="preserve">FRANCISCO </v>
      </c>
      <c r="B133" t="str">
        <v>MOVEIS</v>
      </c>
      <c r="C133">
        <v>345.5</v>
      </c>
      <c r="D133">
        <v>359</v>
      </c>
      <c r="E133">
        <v>0</v>
      </c>
      <c r="F133">
        <v>0</v>
      </c>
      <c r="G133">
        <v>433.1</v>
      </c>
      <c r="H133">
        <v>500</v>
      </c>
      <c r="I133">
        <v>0</v>
      </c>
      <c r="J133">
        <v>0</v>
      </c>
      <c r="K133">
        <v>419.9</v>
      </c>
      <c r="L133">
        <v>0</v>
      </c>
      <c r="M133">
        <v>189.9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tr">
        <v xml:space="preserve">FRANCISCO </v>
      </c>
      <c r="B134" t="str">
        <v>PINTURA</v>
      </c>
      <c r="C134">
        <v>200.46</v>
      </c>
      <c r="D134">
        <v>674.72</v>
      </c>
      <c r="E134">
        <v>258.54000000000002</v>
      </c>
      <c r="F134">
        <v>1159.8900000000001</v>
      </c>
      <c r="G134">
        <v>468.37</v>
      </c>
      <c r="H134">
        <v>498.3</v>
      </c>
      <c r="I134">
        <v>535.23</v>
      </c>
      <c r="J134">
        <v>864.01</v>
      </c>
      <c r="K134">
        <v>842.65</v>
      </c>
      <c r="L134">
        <v>739.3</v>
      </c>
      <c r="M134">
        <v>330.36</v>
      </c>
      <c r="N134">
        <v>235.38</v>
      </c>
      <c r="O134">
        <v>347.7</v>
      </c>
      <c r="P134">
        <v>234.83</v>
      </c>
      <c r="Q134">
        <v>-32.08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tr">
        <v xml:space="preserve">FRANCISCO </v>
      </c>
      <c r="B135" t="str">
        <v>PISOS E REVESTIMENTOS</v>
      </c>
      <c r="C135">
        <v>4411.84</v>
      </c>
      <c r="D135">
        <v>10976.45</v>
      </c>
      <c r="E135">
        <v>3004.42</v>
      </c>
      <c r="F135">
        <v>8165.91</v>
      </c>
      <c r="G135">
        <v>441.38</v>
      </c>
      <c r="H135">
        <v>4396.8900000000003</v>
      </c>
      <c r="I135">
        <v>183.07</v>
      </c>
      <c r="J135">
        <v>1143.1500000000001</v>
      </c>
      <c r="K135">
        <v>3805.7</v>
      </c>
      <c r="L135">
        <v>14149.55</v>
      </c>
      <c r="M135">
        <v>636.9</v>
      </c>
      <c r="N135">
        <v>2818.58</v>
      </c>
      <c r="O135">
        <v>1540.23</v>
      </c>
      <c r="P135">
        <v>1925.14</v>
      </c>
      <c r="Q135">
        <v>2126.4299999999998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tr">
        <v xml:space="preserve">FRANCISCO </v>
      </c>
      <c r="B136" t="str">
        <v>PRATELEIRA  *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tr">
        <v xml:space="preserve">FRANCISCO </v>
      </c>
      <c r="B137" t="str">
        <v>ULTILIDADES DOMESTICAS  *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390.7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tr">
        <v xml:space="preserve">FRANCISCO </v>
      </c>
      <c r="B138" t="str">
        <v>zFERRAMENTAS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tr">
        <v xml:space="preserve">FRANCISCO </v>
      </c>
      <c r="B139" t="str">
        <v>zMATERIAIS BASICOS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tr">
        <v xml:space="preserve">FRANCISCO </v>
      </c>
      <c r="B140" t="str">
        <v>zPARAFUSOS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tr">
        <v>LUCIMARA</v>
      </c>
      <c r="B143" t="str">
        <v>ACABAMENTO  **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tr">
        <v>LUCIMARA</v>
      </c>
      <c r="B144" t="str">
        <v>COBERTURA</v>
      </c>
      <c r="C144">
        <v>73.3</v>
      </c>
      <c r="D144">
        <v>351</v>
      </c>
      <c r="E144">
        <v>0</v>
      </c>
      <c r="F144">
        <v>17.899999999999999</v>
      </c>
      <c r="G144">
        <v>96.78</v>
      </c>
      <c r="H144">
        <v>0</v>
      </c>
      <c r="I144">
        <v>0</v>
      </c>
      <c r="J144">
        <v>733.63</v>
      </c>
      <c r="K144">
        <v>222.22</v>
      </c>
      <c r="L144">
        <v>31.5</v>
      </c>
      <c r="M144">
        <v>55.9</v>
      </c>
      <c r="N144">
        <v>278.66000000000003</v>
      </c>
      <c r="O144">
        <v>247.5</v>
      </c>
      <c r="P144">
        <v>78.8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tr">
        <v>LUCIMARA</v>
      </c>
      <c r="B145" t="str">
        <v>ELETRICA     **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tr">
        <v>LUCIMARA</v>
      </c>
      <c r="B146" t="str">
        <v>ELETRODOMESTICOS   **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tr">
        <v>LUCIMARA</v>
      </c>
      <c r="B147" t="str">
        <v>ESQUADRIAS</v>
      </c>
      <c r="C147">
        <v>0</v>
      </c>
      <c r="D147">
        <v>59.9</v>
      </c>
      <c r="E147">
        <v>0</v>
      </c>
      <c r="F147">
        <v>0</v>
      </c>
      <c r="G147">
        <v>116.8</v>
      </c>
      <c r="H147">
        <v>0</v>
      </c>
      <c r="I147">
        <v>165.85</v>
      </c>
      <c r="J147">
        <v>698.8</v>
      </c>
      <c r="K147">
        <v>5.6</v>
      </c>
      <c r="L147">
        <v>0</v>
      </c>
      <c r="M147">
        <v>138</v>
      </c>
      <c r="N147">
        <v>77.900000000000006</v>
      </c>
      <c r="O147">
        <v>5.3</v>
      </c>
      <c r="P147">
        <v>105.99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tr">
        <v>LUCIMARA</v>
      </c>
      <c r="B148" t="str">
        <v>FERRAGENS</v>
      </c>
      <c r="C148">
        <v>476.11</v>
      </c>
      <c r="D148">
        <v>435.5</v>
      </c>
      <c r="E148">
        <v>354.77</v>
      </c>
      <c r="F148">
        <v>903.21</v>
      </c>
      <c r="G148">
        <v>583.41999999999996</v>
      </c>
      <c r="H148">
        <v>458.15</v>
      </c>
      <c r="I148">
        <v>869.28</v>
      </c>
      <c r="J148">
        <v>956.81</v>
      </c>
      <c r="K148">
        <v>1506.78</v>
      </c>
      <c r="L148">
        <v>156.12</v>
      </c>
      <c r="M148">
        <v>895.67</v>
      </c>
      <c r="N148">
        <v>537.65</v>
      </c>
      <c r="O148">
        <v>449.41</v>
      </c>
      <c r="P148">
        <v>480.72</v>
      </c>
      <c r="Q148">
        <v>760.47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tr">
        <v>LUCIMARA</v>
      </c>
      <c r="B149" t="str">
        <v>FERRAMENTAS</v>
      </c>
      <c r="C149">
        <v>903.12</v>
      </c>
      <c r="D149">
        <v>1099.3</v>
      </c>
      <c r="E149">
        <v>460.29</v>
      </c>
      <c r="F149">
        <v>772.7</v>
      </c>
      <c r="G149">
        <v>1085.33</v>
      </c>
      <c r="H149">
        <v>625.69000000000005</v>
      </c>
      <c r="I149">
        <v>1388.12</v>
      </c>
      <c r="J149">
        <v>1923.48</v>
      </c>
      <c r="K149">
        <v>2818.33</v>
      </c>
      <c r="L149">
        <v>920.91</v>
      </c>
      <c r="M149">
        <v>184.95</v>
      </c>
      <c r="N149">
        <v>1079.31</v>
      </c>
      <c r="O149">
        <v>1131.74</v>
      </c>
      <c r="P149">
        <v>346.28</v>
      </c>
      <c r="Q149">
        <v>788.83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tr">
        <v>LUCIMARA</v>
      </c>
      <c r="B150" t="str">
        <v>HIDRAULICAS</v>
      </c>
      <c r="C150">
        <v>987.98</v>
      </c>
      <c r="D150">
        <v>823.12</v>
      </c>
      <c r="E150">
        <v>222.32</v>
      </c>
      <c r="F150">
        <v>511.05</v>
      </c>
      <c r="G150">
        <v>355.47</v>
      </c>
      <c r="H150">
        <v>1077.32</v>
      </c>
      <c r="I150">
        <v>954.91</v>
      </c>
      <c r="J150">
        <v>1175.52</v>
      </c>
      <c r="K150">
        <v>1974.14</v>
      </c>
      <c r="L150">
        <v>1047.55</v>
      </c>
      <c r="M150">
        <v>206.41</v>
      </c>
      <c r="N150">
        <v>948.96</v>
      </c>
      <c r="O150">
        <v>989.68</v>
      </c>
      <c r="P150">
        <v>580.64</v>
      </c>
      <c r="Q150">
        <v>1467.78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tr">
        <v>LUCIMARA</v>
      </c>
      <c r="B151" t="str">
        <v>ILUMINAÇÃO</v>
      </c>
      <c r="C151">
        <v>23.05</v>
      </c>
      <c r="D151">
        <v>0</v>
      </c>
      <c r="E151">
        <v>34.75</v>
      </c>
      <c r="F151">
        <v>10.95</v>
      </c>
      <c r="G151">
        <v>152.75</v>
      </c>
      <c r="H151">
        <v>148.30000000000001</v>
      </c>
      <c r="I151">
        <v>97.8</v>
      </c>
      <c r="J151">
        <v>189.5</v>
      </c>
      <c r="K151">
        <v>342.1</v>
      </c>
      <c r="L151">
        <v>39.799999999999997</v>
      </c>
      <c r="M151">
        <v>40.75</v>
      </c>
      <c r="N151">
        <v>34.75</v>
      </c>
      <c r="O151">
        <v>341.25</v>
      </c>
      <c r="P151">
        <v>23.8</v>
      </c>
      <c r="Q151">
        <v>9.85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tr">
        <v>LUCIMARA</v>
      </c>
      <c r="B152" t="str">
        <v>JARDINAGEM   *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tr">
        <v>LUCIMARA</v>
      </c>
      <c r="B153" t="str">
        <v>LAZER</v>
      </c>
      <c r="C153">
        <v>74.75</v>
      </c>
      <c r="D153">
        <v>201.7</v>
      </c>
      <c r="E153">
        <v>345.8</v>
      </c>
      <c r="F153">
        <v>124.35</v>
      </c>
      <c r="G153">
        <v>236.16</v>
      </c>
      <c r="H153">
        <v>43.8</v>
      </c>
      <c r="I153">
        <v>46.4</v>
      </c>
      <c r="J153">
        <v>39.65</v>
      </c>
      <c r="K153">
        <v>372.85</v>
      </c>
      <c r="L153">
        <v>206.65</v>
      </c>
      <c r="M153">
        <v>70.3</v>
      </c>
      <c r="N153">
        <v>103.6</v>
      </c>
      <c r="O153">
        <v>28.8</v>
      </c>
      <c r="P153">
        <v>55.34</v>
      </c>
      <c r="Q153">
        <v>63.65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tr">
        <v>LUCIMARA</v>
      </c>
      <c r="B154" t="str">
        <v>LOUÇAS</v>
      </c>
      <c r="C154">
        <v>0</v>
      </c>
      <c r="D154">
        <v>0</v>
      </c>
      <c r="E154">
        <v>499.8</v>
      </c>
      <c r="F154">
        <v>39.9</v>
      </c>
      <c r="G154">
        <v>191.8</v>
      </c>
      <c r="H154">
        <v>0</v>
      </c>
      <c r="I154">
        <v>0</v>
      </c>
      <c r="J154">
        <v>92.91</v>
      </c>
      <c r="K154">
        <v>37.67</v>
      </c>
      <c r="L154">
        <v>48.9</v>
      </c>
      <c r="M154">
        <v>0</v>
      </c>
      <c r="N154">
        <v>0</v>
      </c>
      <c r="O154">
        <v>75.900000000000006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tr">
        <v>LUCIMARA</v>
      </c>
      <c r="B155" t="str">
        <v>MATERIAIS BÁSICOS</v>
      </c>
      <c r="C155">
        <v>1008.44</v>
      </c>
      <c r="D155">
        <v>1767.78</v>
      </c>
      <c r="E155">
        <v>1122.8499999999999</v>
      </c>
      <c r="F155">
        <v>2193.41</v>
      </c>
      <c r="G155">
        <v>1981.74</v>
      </c>
      <c r="H155">
        <v>2380.6</v>
      </c>
      <c r="I155">
        <v>1895.45</v>
      </c>
      <c r="J155">
        <v>589.48</v>
      </c>
      <c r="K155">
        <v>7363.46</v>
      </c>
      <c r="L155">
        <v>432.1</v>
      </c>
      <c r="M155">
        <v>140.75</v>
      </c>
      <c r="N155">
        <v>216</v>
      </c>
      <c r="O155">
        <v>1212.5</v>
      </c>
      <c r="P155">
        <v>299.39999999999998</v>
      </c>
      <c r="Q155">
        <v>313.89999999999998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tr">
        <v>LUCIMARA</v>
      </c>
      <c r="B156" t="str">
        <v>MATERIAIS ELETRICOS</v>
      </c>
      <c r="C156">
        <v>112.22</v>
      </c>
      <c r="D156">
        <v>327.8</v>
      </c>
      <c r="E156">
        <v>640.24</v>
      </c>
      <c r="F156">
        <v>164.52</v>
      </c>
      <c r="G156">
        <v>1017.24</v>
      </c>
      <c r="H156">
        <v>835.36</v>
      </c>
      <c r="I156">
        <v>4311.1499999999996</v>
      </c>
      <c r="J156">
        <v>1078.95</v>
      </c>
      <c r="K156">
        <v>1847.62</v>
      </c>
      <c r="L156">
        <v>333.65</v>
      </c>
      <c r="M156">
        <v>265.94</v>
      </c>
      <c r="N156">
        <v>1177.54</v>
      </c>
      <c r="O156">
        <v>1217.27</v>
      </c>
      <c r="P156">
        <v>204.1</v>
      </c>
      <c r="Q156">
        <v>1196.1300000000001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tr">
        <v>LUCIMARA</v>
      </c>
      <c r="B157" t="str">
        <v>METAIS</v>
      </c>
      <c r="C157">
        <v>146.65</v>
      </c>
      <c r="D157">
        <v>113.65</v>
      </c>
      <c r="E157">
        <v>157.69999999999999</v>
      </c>
      <c r="F157">
        <v>219.17</v>
      </c>
      <c r="G157">
        <v>140.9</v>
      </c>
      <c r="H157">
        <v>0</v>
      </c>
      <c r="I157">
        <v>419.45</v>
      </c>
      <c r="J157">
        <v>676.35</v>
      </c>
      <c r="K157">
        <v>274.39999999999998</v>
      </c>
      <c r="L157">
        <v>126.45</v>
      </c>
      <c r="M157">
        <v>274</v>
      </c>
      <c r="N157">
        <v>444.1</v>
      </c>
      <c r="O157">
        <v>169.1</v>
      </c>
      <c r="P157">
        <v>57.4</v>
      </c>
      <c r="Q157">
        <v>222.95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tr">
        <v>LUCIMARA</v>
      </c>
      <c r="B158" t="str">
        <v>MOVEIS</v>
      </c>
      <c r="C158">
        <v>0</v>
      </c>
      <c r="D158">
        <v>0</v>
      </c>
      <c r="E158">
        <v>199.9</v>
      </c>
      <c r="F158">
        <v>0</v>
      </c>
      <c r="G158">
        <v>47.95</v>
      </c>
      <c r="H158">
        <v>569.79999999999995</v>
      </c>
      <c r="I158">
        <v>874.9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tr">
        <v>LUCIMARA</v>
      </c>
      <c r="B159" t="str">
        <v>PINTURA</v>
      </c>
      <c r="C159">
        <v>137.44999999999999</v>
      </c>
      <c r="D159">
        <v>413.6</v>
      </c>
      <c r="E159">
        <v>1.3</v>
      </c>
      <c r="F159">
        <v>539.1</v>
      </c>
      <c r="G159">
        <v>1070.0999999999999</v>
      </c>
      <c r="H159">
        <v>288.99</v>
      </c>
      <c r="I159">
        <v>536.20000000000005</v>
      </c>
      <c r="J159">
        <v>638.85</v>
      </c>
      <c r="K159">
        <v>2243.62</v>
      </c>
      <c r="L159">
        <v>707.6</v>
      </c>
      <c r="M159">
        <v>219.41</v>
      </c>
      <c r="N159">
        <v>495.6</v>
      </c>
      <c r="O159">
        <v>332.2</v>
      </c>
      <c r="P159">
        <v>479.45</v>
      </c>
      <c r="Q159">
        <v>173.35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tr">
        <v>LUCIMARA</v>
      </c>
      <c r="B160" t="str">
        <v>PISOS E REVESTIMENTOS</v>
      </c>
      <c r="C160">
        <v>466.25</v>
      </c>
      <c r="D160">
        <v>186.7</v>
      </c>
      <c r="E160">
        <v>351.84</v>
      </c>
      <c r="F160">
        <v>574.65</v>
      </c>
      <c r="G160">
        <v>424.41</v>
      </c>
      <c r="H160">
        <v>317.82</v>
      </c>
      <c r="I160">
        <v>520</v>
      </c>
      <c r="J160">
        <v>1017.3</v>
      </c>
      <c r="K160">
        <v>1144.4100000000001</v>
      </c>
      <c r="L160">
        <v>421</v>
      </c>
      <c r="M160">
        <v>70.8</v>
      </c>
      <c r="N160">
        <v>1442</v>
      </c>
      <c r="O160">
        <v>282.8</v>
      </c>
      <c r="P160">
        <v>576.54999999999995</v>
      </c>
      <c r="Q160">
        <v>129.4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tr">
        <v>LUCIMARA</v>
      </c>
      <c r="B161" t="str">
        <v>PRATELEIRA  *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tr">
        <v>LUCIMARA</v>
      </c>
      <c r="B162" t="str">
        <v>ULTILIDADES DOMESTICAS  *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tr">
        <v>LUCIMARA</v>
      </c>
      <c r="B163" t="str">
        <v>zFERRAMENTAS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tr">
        <v>LUCIMARA</v>
      </c>
      <c r="B164" t="str">
        <v>zMATERIAIS BASICOS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tr">
        <v>LUCIMARA</v>
      </c>
      <c r="B165" t="str">
        <v>zPARAFUSOS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tr">
        <v>JHOYCE</v>
      </c>
      <c r="B168" t="str">
        <v>ACABAMENTO  **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tr">
        <v>JHOYCE</v>
      </c>
      <c r="B169" t="str">
        <v>COBERTURA</v>
      </c>
      <c r="C169">
        <v>5169.8100000000004</v>
      </c>
      <c r="D169">
        <v>10401.219999999999</v>
      </c>
      <c r="E169">
        <v>10178.6</v>
      </c>
      <c r="F169">
        <v>2057.4899999999998</v>
      </c>
      <c r="G169">
        <v>1586.16</v>
      </c>
      <c r="H169">
        <v>2752.49</v>
      </c>
      <c r="I169">
        <v>3892</v>
      </c>
      <c r="J169">
        <v>4046.98</v>
      </c>
      <c r="K169">
        <v>7886.53</v>
      </c>
      <c r="L169">
        <v>1059.5</v>
      </c>
      <c r="M169">
        <v>5379.19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tr">
        <v>JHOYCE</v>
      </c>
      <c r="B170" t="str">
        <v>ELETRICA     **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tr">
        <v>JHOYCE</v>
      </c>
      <c r="B171" t="str">
        <v>ELETRODOMESTICOS   **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tr">
        <v>JHOYCE</v>
      </c>
      <c r="B172" t="str">
        <v>ESQUADRIAS</v>
      </c>
      <c r="C172">
        <v>1627.87</v>
      </c>
      <c r="D172">
        <v>1364.9</v>
      </c>
      <c r="E172">
        <v>2160.29</v>
      </c>
      <c r="F172">
        <v>2304.65</v>
      </c>
      <c r="G172">
        <v>1045.6400000000001</v>
      </c>
      <c r="H172">
        <v>1100.75</v>
      </c>
      <c r="I172">
        <v>1072.52</v>
      </c>
      <c r="J172">
        <v>3415.7</v>
      </c>
      <c r="K172">
        <v>1618</v>
      </c>
      <c r="L172">
        <v>5108.71</v>
      </c>
      <c r="M172">
        <v>1198.55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tr">
        <v>JHOYCE</v>
      </c>
      <c r="B173" t="str">
        <v>FERRAGENS</v>
      </c>
      <c r="C173">
        <v>2399.4899999999998</v>
      </c>
      <c r="D173">
        <v>3017.91</v>
      </c>
      <c r="E173">
        <v>2841.68</v>
      </c>
      <c r="F173">
        <v>2113.31</v>
      </c>
      <c r="G173">
        <v>2282.69</v>
      </c>
      <c r="H173">
        <v>5183.3</v>
      </c>
      <c r="I173">
        <v>2795.06</v>
      </c>
      <c r="J173">
        <v>3804.44</v>
      </c>
      <c r="K173">
        <v>3947.99</v>
      </c>
      <c r="L173">
        <v>2609.5300000000002</v>
      </c>
      <c r="M173">
        <v>2676.21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tr">
        <v>JHOYCE</v>
      </c>
      <c r="B174" t="str">
        <v>FERRAMENTAS</v>
      </c>
      <c r="C174">
        <v>3710.41</v>
      </c>
      <c r="D174">
        <v>3766.68</v>
      </c>
      <c r="E174">
        <v>4924.8900000000003</v>
      </c>
      <c r="F174">
        <v>1907.79</v>
      </c>
      <c r="G174">
        <v>3855.31</v>
      </c>
      <c r="H174">
        <v>3939.55</v>
      </c>
      <c r="I174">
        <v>3919.62</v>
      </c>
      <c r="J174">
        <v>3208.27</v>
      </c>
      <c r="K174">
        <v>6988.36</v>
      </c>
      <c r="L174">
        <v>2785.18</v>
      </c>
      <c r="M174">
        <v>2895.02</v>
      </c>
      <c r="N174">
        <v>0.11</v>
      </c>
      <c r="O174">
        <v>0.01</v>
      </c>
      <c r="P174">
        <v>0.01</v>
      </c>
      <c r="Q174">
        <v>0.01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tr">
        <v>JHOYCE</v>
      </c>
      <c r="B175" t="str">
        <v>HIDRAULICAS</v>
      </c>
      <c r="C175">
        <v>5816.2</v>
      </c>
      <c r="D175">
        <v>6334.17</v>
      </c>
      <c r="E175">
        <v>9649.0400000000009</v>
      </c>
      <c r="F175">
        <v>2683.08</v>
      </c>
      <c r="G175">
        <v>8826.2099999999991</v>
      </c>
      <c r="H175">
        <v>11295.01</v>
      </c>
      <c r="I175">
        <v>9937.15</v>
      </c>
      <c r="J175">
        <v>19636.88</v>
      </c>
      <c r="K175">
        <v>19127.14</v>
      </c>
      <c r="L175">
        <v>7823.67</v>
      </c>
      <c r="M175">
        <v>4930.95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tr">
        <v>JHOYCE</v>
      </c>
      <c r="B176" t="str">
        <v>ILUMINAÇÃO</v>
      </c>
      <c r="C176">
        <v>520.26</v>
      </c>
      <c r="D176">
        <v>354.45</v>
      </c>
      <c r="E176">
        <v>430.3</v>
      </c>
      <c r="F176">
        <v>283.55</v>
      </c>
      <c r="G176">
        <v>660.33</v>
      </c>
      <c r="H176">
        <v>678.4</v>
      </c>
      <c r="I176">
        <v>859.56</v>
      </c>
      <c r="J176">
        <v>628.45000000000005</v>
      </c>
      <c r="K176">
        <v>350.92</v>
      </c>
      <c r="L176">
        <v>651.6</v>
      </c>
      <c r="M176">
        <v>445.87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tr">
        <v>JHOYCE</v>
      </c>
      <c r="B177" t="str">
        <v>JARDINAGEM   *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tr">
        <v>JHOYCE</v>
      </c>
      <c r="B178" t="str">
        <v>LAZER</v>
      </c>
      <c r="C178">
        <v>1858.69</v>
      </c>
      <c r="D178">
        <v>807.25</v>
      </c>
      <c r="E178">
        <v>1543.64</v>
      </c>
      <c r="F178">
        <v>1321.62</v>
      </c>
      <c r="G178">
        <v>1741.07</v>
      </c>
      <c r="H178">
        <v>1652.42</v>
      </c>
      <c r="I178">
        <v>677.8</v>
      </c>
      <c r="J178">
        <v>3082.93</v>
      </c>
      <c r="K178">
        <v>2272.7600000000002</v>
      </c>
      <c r="L178">
        <v>2498.13</v>
      </c>
      <c r="M178">
        <v>614.70000000000005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tr">
        <v>JHOYCE</v>
      </c>
      <c r="B179" t="str">
        <v>LOUÇAS</v>
      </c>
      <c r="C179">
        <v>213.8</v>
      </c>
      <c r="D179">
        <v>1008.6</v>
      </c>
      <c r="E179">
        <v>1571.47</v>
      </c>
      <c r="F179">
        <v>33.9</v>
      </c>
      <c r="G179">
        <v>2348.4</v>
      </c>
      <c r="H179">
        <v>1838.5</v>
      </c>
      <c r="I179">
        <v>672.55</v>
      </c>
      <c r="J179">
        <v>789.27</v>
      </c>
      <c r="K179">
        <v>1542.55</v>
      </c>
      <c r="L179">
        <v>2345.5</v>
      </c>
      <c r="M179">
        <v>691.6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tr">
        <v>JHOYCE</v>
      </c>
      <c r="B180" t="str">
        <v>MATERIAIS BÁSICOS</v>
      </c>
      <c r="C180">
        <v>12770.79</v>
      </c>
      <c r="D180">
        <v>21318.67</v>
      </c>
      <c r="E180">
        <v>23831.52</v>
      </c>
      <c r="F180">
        <v>27324.59</v>
      </c>
      <c r="G180">
        <v>30994.92</v>
      </c>
      <c r="H180">
        <v>26784.38</v>
      </c>
      <c r="I180">
        <v>39990.769999999997</v>
      </c>
      <c r="J180">
        <v>28880.13</v>
      </c>
      <c r="K180">
        <v>48566.73</v>
      </c>
      <c r="L180">
        <v>32539.48</v>
      </c>
      <c r="M180">
        <v>16319.02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tr">
        <v>JHOYCE</v>
      </c>
      <c r="B181" t="str">
        <v>MATERIAIS ELETRICOS</v>
      </c>
      <c r="C181">
        <v>1572.42</v>
      </c>
      <c r="D181">
        <v>4625.1400000000003</v>
      </c>
      <c r="E181">
        <v>3764.7</v>
      </c>
      <c r="F181">
        <v>2945.2</v>
      </c>
      <c r="G181">
        <v>11448.28</v>
      </c>
      <c r="H181">
        <v>6664.72</v>
      </c>
      <c r="I181">
        <v>5423.9</v>
      </c>
      <c r="J181">
        <v>4635.07</v>
      </c>
      <c r="K181">
        <v>5166.5600000000004</v>
      </c>
      <c r="L181">
        <v>4119.01</v>
      </c>
      <c r="M181">
        <v>2624.19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tr">
        <v>JHOYCE</v>
      </c>
      <c r="B182" t="str">
        <v>METAIS</v>
      </c>
      <c r="C182">
        <v>1040.8399999999999</v>
      </c>
      <c r="D182">
        <v>832.45</v>
      </c>
      <c r="E182">
        <v>1329.26</v>
      </c>
      <c r="F182">
        <v>699.16</v>
      </c>
      <c r="G182">
        <v>1592.1</v>
      </c>
      <c r="H182">
        <v>2761.69</v>
      </c>
      <c r="I182">
        <v>1992.03</v>
      </c>
      <c r="J182">
        <v>4038.84</v>
      </c>
      <c r="K182">
        <v>3409.41</v>
      </c>
      <c r="L182">
        <v>1669.1</v>
      </c>
      <c r="M182">
        <v>1167.97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tr">
        <v>JHOYCE</v>
      </c>
      <c r="B183" t="str">
        <v>MOVEIS</v>
      </c>
      <c r="C183">
        <v>0</v>
      </c>
      <c r="D183">
        <v>179.3</v>
      </c>
      <c r="E183">
        <v>3866.75</v>
      </c>
      <c r="F183">
        <v>247.8</v>
      </c>
      <c r="G183">
        <v>2499.5</v>
      </c>
      <c r="H183">
        <v>0</v>
      </c>
      <c r="I183">
        <v>923.7</v>
      </c>
      <c r="J183">
        <v>3940.24</v>
      </c>
      <c r="K183">
        <v>920</v>
      </c>
      <c r="L183">
        <v>1529.5</v>
      </c>
      <c r="M183">
        <v>225.8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tr">
        <v>JHOYCE</v>
      </c>
      <c r="B184" t="str">
        <v>PINTURA</v>
      </c>
      <c r="C184">
        <v>2296.6999999999998</v>
      </c>
      <c r="D184">
        <v>1615.95</v>
      </c>
      <c r="E184">
        <v>1582.81</v>
      </c>
      <c r="F184">
        <v>3841.65</v>
      </c>
      <c r="G184">
        <v>2922.52</v>
      </c>
      <c r="H184">
        <v>2410.14</v>
      </c>
      <c r="I184">
        <v>3603.59</v>
      </c>
      <c r="J184">
        <v>2536.41</v>
      </c>
      <c r="K184">
        <v>3643.05</v>
      </c>
      <c r="L184">
        <v>3982.07</v>
      </c>
      <c r="M184">
        <v>2585.54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tr">
        <v>JHOYCE</v>
      </c>
      <c r="B185" t="str">
        <v>PISOS E REVESTIMENTOS</v>
      </c>
      <c r="C185">
        <v>3954.18</v>
      </c>
      <c r="D185">
        <v>8138.87</v>
      </c>
      <c r="E185">
        <v>12853.24</v>
      </c>
      <c r="F185">
        <v>21787.11</v>
      </c>
      <c r="G185">
        <v>8871.6299999999992</v>
      </c>
      <c r="H185">
        <v>9115.1299999999992</v>
      </c>
      <c r="I185">
        <v>4950.45</v>
      </c>
      <c r="J185">
        <v>8751.5300000000007</v>
      </c>
      <c r="K185">
        <v>7639.87</v>
      </c>
      <c r="L185">
        <v>4500.17</v>
      </c>
      <c r="M185">
        <v>4302.37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tr">
        <v>JHOYCE</v>
      </c>
      <c r="B186" t="str">
        <v>PRATELEIRA  *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tr">
        <v>JHOYCE</v>
      </c>
      <c r="B187" t="str">
        <v>ULTILIDADES DOMESTICAS  *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tr">
        <v>JHOYCE</v>
      </c>
      <c r="B188" t="str">
        <v>zFERRAMENTAS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tr">
        <v>JHOYCE</v>
      </c>
      <c r="B189" t="str">
        <v>zMATERIAIS BASICOS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tr">
        <v>JHOYCE</v>
      </c>
      <c r="B190" t="str">
        <v>zPARAFUSOS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tr">
        <v>LUIZ FERNANDO</v>
      </c>
      <c r="B193" t="str">
        <v>ACABAMENTO  **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tr">
        <v>LUIZ FERNANDO</v>
      </c>
      <c r="B194" t="str">
        <v>COBERTURA</v>
      </c>
      <c r="C194">
        <v>48893.46</v>
      </c>
      <c r="D194">
        <v>13028.85</v>
      </c>
      <c r="E194">
        <v>14159.02</v>
      </c>
      <c r="F194">
        <v>53955.23</v>
      </c>
      <c r="G194">
        <v>31400.68</v>
      </c>
      <c r="H194">
        <v>13295.03</v>
      </c>
      <c r="I194">
        <v>18096.63</v>
      </c>
      <c r="J194">
        <v>3786.38</v>
      </c>
      <c r="K194">
        <v>0</v>
      </c>
      <c r="L194">
        <v>35516.050000000003</v>
      </c>
      <c r="M194">
        <v>15390.63</v>
      </c>
      <c r="N194">
        <v>15444.19</v>
      </c>
      <c r="O194">
        <v>10911.5</v>
      </c>
      <c r="P194">
        <v>24871.29</v>
      </c>
      <c r="Q194">
        <v>13513.36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tr">
        <v>LUIZ FERNANDO</v>
      </c>
      <c r="B195" t="str">
        <v>ELETRICA     **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tr">
        <v>LUIZ FERNANDO</v>
      </c>
      <c r="B196" t="str">
        <v>ELETRODOMESTICOS   **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tr">
        <v>LUIZ FERNANDO</v>
      </c>
      <c r="B197" t="str">
        <v>ESQUADRIAS</v>
      </c>
      <c r="C197">
        <v>3567.73</v>
      </c>
      <c r="D197">
        <v>4927.34</v>
      </c>
      <c r="E197">
        <v>3477.95</v>
      </c>
      <c r="F197">
        <v>3384.8</v>
      </c>
      <c r="G197">
        <v>11111.16</v>
      </c>
      <c r="H197">
        <v>8402.94</v>
      </c>
      <c r="I197">
        <v>5985.63</v>
      </c>
      <c r="J197">
        <v>5056.59</v>
      </c>
      <c r="K197">
        <v>0</v>
      </c>
      <c r="L197">
        <v>1283.4000000000001</v>
      </c>
      <c r="M197">
        <v>10241.9</v>
      </c>
      <c r="N197">
        <v>3644.55</v>
      </c>
      <c r="O197">
        <v>9643.9500000000007</v>
      </c>
      <c r="P197">
        <v>5789.04</v>
      </c>
      <c r="Q197">
        <v>2212.23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tr">
        <v>LUIZ FERNANDO</v>
      </c>
      <c r="B198" t="str">
        <v>FERRAGENS</v>
      </c>
      <c r="C198">
        <v>8370.68</v>
      </c>
      <c r="D198">
        <v>9157.81</v>
      </c>
      <c r="E198">
        <v>6394.43</v>
      </c>
      <c r="F198">
        <v>6859.57</v>
      </c>
      <c r="G198">
        <v>8693.2900000000009</v>
      </c>
      <c r="H198">
        <v>7668.08</v>
      </c>
      <c r="I198">
        <v>8446.0400000000009</v>
      </c>
      <c r="J198">
        <v>7564.89</v>
      </c>
      <c r="K198">
        <v>0</v>
      </c>
      <c r="L198">
        <v>6205.77</v>
      </c>
      <c r="M198">
        <v>4620.18</v>
      </c>
      <c r="N198">
        <v>5868.3</v>
      </c>
      <c r="O198">
        <v>7099.57</v>
      </c>
      <c r="P198">
        <v>9659.8799999999992</v>
      </c>
      <c r="Q198">
        <v>6416.32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tr">
        <v>LUIZ FERNANDO</v>
      </c>
      <c r="B199" t="str">
        <v>FERRAMENTAS</v>
      </c>
      <c r="C199">
        <v>14553.51</v>
      </c>
      <c r="D199">
        <v>11590.34</v>
      </c>
      <c r="E199">
        <v>8613.08</v>
      </c>
      <c r="F199">
        <v>11696.46</v>
      </c>
      <c r="G199">
        <v>10767.58</v>
      </c>
      <c r="H199">
        <v>12445.65</v>
      </c>
      <c r="I199">
        <v>11245.91</v>
      </c>
      <c r="J199">
        <v>13498</v>
      </c>
      <c r="K199">
        <v>0</v>
      </c>
      <c r="L199">
        <v>8847.2199999999993</v>
      </c>
      <c r="M199">
        <v>11763.15</v>
      </c>
      <c r="N199">
        <v>8407.7900000000009</v>
      </c>
      <c r="O199">
        <v>10437.030000000001</v>
      </c>
      <c r="P199">
        <v>9559.2900000000009</v>
      </c>
      <c r="Q199">
        <v>8433.17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tr">
        <v>LUIZ FERNANDO</v>
      </c>
      <c r="B200" t="str">
        <v>HIDRAULICAS</v>
      </c>
      <c r="C200">
        <v>18004.82</v>
      </c>
      <c r="D200">
        <v>15569.25</v>
      </c>
      <c r="E200">
        <v>14624.84</v>
      </c>
      <c r="F200">
        <v>17838.78</v>
      </c>
      <c r="G200">
        <v>32961.33</v>
      </c>
      <c r="H200">
        <v>15890.76</v>
      </c>
      <c r="I200">
        <v>31451.38</v>
      </c>
      <c r="J200">
        <v>28835.200000000001</v>
      </c>
      <c r="K200">
        <v>0</v>
      </c>
      <c r="L200">
        <v>32554.07</v>
      </c>
      <c r="M200">
        <v>29077.97</v>
      </c>
      <c r="N200">
        <v>21815.63</v>
      </c>
      <c r="O200">
        <v>14032.28</v>
      </c>
      <c r="P200">
        <v>15228.52</v>
      </c>
      <c r="Q200">
        <v>23252.57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tr">
        <v>LUIZ FERNANDO</v>
      </c>
      <c r="B201" t="str">
        <v>ILUMINAÇÃO</v>
      </c>
      <c r="C201">
        <v>1135.94</v>
      </c>
      <c r="D201">
        <v>709.85</v>
      </c>
      <c r="E201">
        <v>1182.75</v>
      </c>
      <c r="F201">
        <v>1171.95</v>
      </c>
      <c r="G201">
        <v>622.97</v>
      </c>
      <c r="H201">
        <v>931.2</v>
      </c>
      <c r="I201">
        <v>734.45</v>
      </c>
      <c r="J201">
        <v>909.24</v>
      </c>
      <c r="K201">
        <v>0</v>
      </c>
      <c r="L201">
        <v>771.28</v>
      </c>
      <c r="M201">
        <v>320.7</v>
      </c>
      <c r="N201">
        <v>1940.44</v>
      </c>
      <c r="O201">
        <v>819.93</v>
      </c>
      <c r="P201">
        <v>1144.96</v>
      </c>
      <c r="Q201">
        <v>1091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tr">
        <v>LUIZ FERNANDO</v>
      </c>
      <c r="B202" t="str">
        <v>JARDINAGEM   *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tr">
        <v>LUIZ FERNANDO</v>
      </c>
      <c r="B203" t="str">
        <v>LAZER</v>
      </c>
      <c r="C203">
        <v>2679.1</v>
      </c>
      <c r="D203">
        <v>1019.25</v>
      </c>
      <c r="E203">
        <v>2003.54</v>
      </c>
      <c r="F203">
        <v>2237.35</v>
      </c>
      <c r="G203">
        <v>7737.17</v>
      </c>
      <c r="H203">
        <v>5818.5</v>
      </c>
      <c r="I203">
        <v>8247.77</v>
      </c>
      <c r="J203">
        <v>2218.5700000000002</v>
      </c>
      <c r="K203">
        <v>529.9</v>
      </c>
      <c r="L203">
        <v>4145.45</v>
      </c>
      <c r="M203">
        <v>3402.9</v>
      </c>
      <c r="N203">
        <v>3196.53</v>
      </c>
      <c r="O203">
        <v>1498.34</v>
      </c>
      <c r="P203">
        <v>5219.09</v>
      </c>
      <c r="Q203">
        <v>1932.62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tr">
        <v>LUIZ FERNANDO</v>
      </c>
      <c r="B204" t="str">
        <v>LOUÇAS</v>
      </c>
      <c r="C204">
        <v>79.900000000000006</v>
      </c>
      <c r="D204">
        <v>2531.83</v>
      </c>
      <c r="E204">
        <v>919.84</v>
      </c>
      <c r="F204">
        <v>2318.8200000000002</v>
      </c>
      <c r="G204">
        <v>6434.6</v>
      </c>
      <c r="H204">
        <v>2005.97</v>
      </c>
      <c r="I204">
        <v>2166.9</v>
      </c>
      <c r="J204">
        <v>3509.41</v>
      </c>
      <c r="K204">
        <v>0</v>
      </c>
      <c r="L204">
        <v>3495.1</v>
      </c>
      <c r="M204">
        <v>1492.35</v>
      </c>
      <c r="N204">
        <v>6191.4</v>
      </c>
      <c r="O204">
        <v>2807.35</v>
      </c>
      <c r="P204">
        <v>3277.5</v>
      </c>
      <c r="Q204">
        <v>1065.5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tr">
        <v>LUIZ FERNANDO</v>
      </c>
      <c r="B205" t="str">
        <v>MATERIAIS BÁSICOS</v>
      </c>
      <c r="C205">
        <v>142710.39000000001</v>
      </c>
      <c r="D205">
        <v>171501.33</v>
      </c>
      <c r="E205">
        <v>132648.47</v>
      </c>
      <c r="F205">
        <v>161829.14000000001</v>
      </c>
      <c r="G205">
        <v>160149.95000000001</v>
      </c>
      <c r="H205">
        <v>144463.59</v>
      </c>
      <c r="I205">
        <v>225570.88</v>
      </c>
      <c r="J205">
        <v>134303.79999999999</v>
      </c>
      <c r="K205">
        <v>2502.5</v>
      </c>
      <c r="L205">
        <v>146774.51999999999</v>
      </c>
      <c r="M205">
        <v>135612.06</v>
      </c>
      <c r="N205">
        <v>143908.04999999999</v>
      </c>
      <c r="O205">
        <v>153570.17000000001</v>
      </c>
      <c r="P205">
        <v>109105.36</v>
      </c>
      <c r="Q205">
        <v>140533.95000000001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tr">
        <v>LUIZ FERNANDO</v>
      </c>
      <c r="B206" t="str">
        <v>MATERIAIS ELETRICOS</v>
      </c>
      <c r="C206">
        <v>5453.24</v>
      </c>
      <c r="D206">
        <v>5480.29</v>
      </c>
      <c r="E206">
        <v>10037.17</v>
      </c>
      <c r="F206">
        <v>8063.41</v>
      </c>
      <c r="G206">
        <v>19198.18</v>
      </c>
      <c r="H206">
        <v>13898.66</v>
      </c>
      <c r="I206">
        <v>15947.85</v>
      </c>
      <c r="J206">
        <v>13217.86</v>
      </c>
      <c r="K206">
        <v>0</v>
      </c>
      <c r="L206">
        <v>8054.66</v>
      </c>
      <c r="M206">
        <v>7753.96</v>
      </c>
      <c r="N206">
        <v>9372.2099999999991</v>
      </c>
      <c r="O206">
        <v>11988.76</v>
      </c>
      <c r="P206">
        <v>8645.2900000000009</v>
      </c>
      <c r="Q206">
        <v>11067.99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tr">
        <v>LUIZ FERNANDO</v>
      </c>
      <c r="B207" t="str">
        <v>METAIS</v>
      </c>
      <c r="C207">
        <v>1689.92</v>
      </c>
      <c r="D207">
        <v>1974.53</v>
      </c>
      <c r="E207">
        <v>1646.54</v>
      </c>
      <c r="F207">
        <v>2650.5</v>
      </c>
      <c r="G207">
        <v>3955.95</v>
      </c>
      <c r="H207">
        <v>4757.8599999999997</v>
      </c>
      <c r="I207">
        <v>2932.46</v>
      </c>
      <c r="J207">
        <v>6640.11</v>
      </c>
      <c r="K207">
        <v>0</v>
      </c>
      <c r="L207">
        <v>3424.01</v>
      </c>
      <c r="M207">
        <v>4964.97</v>
      </c>
      <c r="N207">
        <v>3729.1</v>
      </c>
      <c r="O207">
        <v>3782.99</v>
      </c>
      <c r="P207">
        <v>773.75</v>
      </c>
      <c r="Q207">
        <v>3159.05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tr">
        <v>LUIZ FERNANDO</v>
      </c>
      <c r="B208" t="str">
        <v>MOVEIS</v>
      </c>
      <c r="C208">
        <v>206.18</v>
      </c>
      <c r="D208">
        <v>2844.7</v>
      </c>
      <c r="E208">
        <v>2653.6</v>
      </c>
      <c r="F208">
        <v>3560.35</v>
      </c>
      <c r="G208">
        <v>9292</v>
      </c>
      <c r="H208">
        <v>3745.7</v>
      </c>
      <c r="I208">
        <v>2475.5</v>
      </c>
      <c r="J208">
        <v>1348.2</v>
      </c>
      <c r="K208">
        <v>0</v>
      </c>
      <c r="L208">
        <v>2325.8000000000002</v>
      </c>
      <c r="M208">
        <v>1746.3</v>
      </c>
      <c r="N208">
        <v>1599.48</v>
      </c>
      <c r="O208">
        <v>2317.5500000000002</v>
      </c>
      <c r="P208">
        <v>433</v>
      </c>
      <c r="Q208">
        <v>3080.3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tr">
        <v>LUIZ FERNANDO</v>
      </c>
      <c r="B209" t="str">
        <v>PINTURA</v>
      </c>
      <c r="C209">
        <v>9190.4</v>
      </c>
      <c r="D209">
        <v>6296.35</v>
      </c>
      <c r="E209">
        <v>8616.7999999999993</v>
      </c>
      <c r="F209">
        <v>9568.64</v>
      </c>
      <c r="G209">
        <v>9518.69</v>
      </c>
      <c r="H209">
        <v>6415.56</v>
      </c>
      <c r="I209">
        <v>9389.58</v>
      </c>
      <c r="J209">
        <v>8599.2900000000009</v>
      </c>
      <c r="K209">
        <v>0</v>
      </c>
      <c r="L209">
        <v>7737.22</v>
      </c>
      <c r="M209">
        <v>4836.0600000000004</v>
      </c>
      <c r="N209">
        <v>5977.3</v>
      </c>
      <c r="O209">
        <v>8450.7999999999993</v>
      </c>
      <c r="P209">
        <v>5292.88</v>
      </c>
      <c r="Q209">
        <v>6905.03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tr">
        <v>LUIZ FERNANDO</v>
      </c>
      <c r="B210" t="str">
        <v>PISOS E REVESTIMENTOS</v>
      </c>
      <c r="C210">
        <v>22201.16</v>
      </c>
      <c r="D210">
        <v>15955.02</v>
      </c>
      <c r="E210">
        <v>25969.05</v>
      </c>
      <c r="F210">
        <v>21737.69</v>
      </c>
      <c r="G210">
        <v>31786.2</v>
      </c>
      <c r="H210">
        <v>19995.88</v>
      </c>
      <c r="I210">
        <v>17436.71</v>
      </c>
      <c r="J210">
        <v>17600.2</v>
      </c>
      <c r="K210">
        <v>0</v>
      </c>
      <c r="L210">
        <v>18116.63</v>
      </c>
      <c r="M210">
        <v>46000.15</v>
      </c>
      <c r="N210">
        <v>22947.25</v>
      </c>
      <c r="O210">
        <v>20216.419999999998</v>
      </c>
      <c r="P210">
        <v>29215.86</v>
      </c>
      <c r="Q210">
        <v>30412.48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tr">
        <v>LUIZ FERNANDO</v>
      </c>
      <c r="B211" t="str">
        <v>PRATELEIRA  *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tr">
        <v>LUIZ FERNANDO</v>
      </c>
      <c r="B212" t="str">
        <v>ULTILIDADES DOMESTICAS  *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7.9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tr">
        <v>LUIZ FERNANDO</v>
      </c>
      <c r="B213" t="str">
        <v>zFERRAMENTAS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tr">
        <v>LUIZ FERNANDO</v>
      </c>
      <c r="B214" t="str">
        <v>zMATERIAIS BASICOS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tr">
        <v>LUIZ FERNANDO</v>
      </c>
      <c r="B215" t="str">
        <v>zPARAFUSOS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tr">
        <v xml:space="preserve">CHRISTIANE </v>
      </c>
      <c r="B218" t="str">
        <v>ACABAMENTO  **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tr">
        <v xml:space="preserve">CHRISTIANE </v>
      </c>
      <c r="B219" t="str">
        <v>COBERTURA</v>
      </c>
      <c r="C219">
        <v>5861.14</v>
      </c>
      <c r="D219">
        <v>18120.689999999999</v>
      </c>
      <c r="E219">
        <v>15513.73</v>
      </c>
      <c r="F219">
        <v>26605.47</v>
      </c>
      <c r="G219">
        <v>13456.79</v>
      </c>
      <c r="H219">
        <v>6252.83</v>
      </c>
      <c r="I219">
        <v>8287.1200000000008</v>
      </c>
      <c r="J219">
        <v>5142</v>
      </c>
      <c r="K219">
        <v>5114.87</v>
      </c>
      <c r="L219">
        <v>2092.94</v>
      </c>
      <c r="M219">
        <v>3606.13</v>
      </c>
      <c r="N219">
        <v>2594.9899999999998</v>
      </c>
      <c r="O219">
        <v>5408.2</v>
      </c>
      <c r="P219">
        <v>6246.19</v>
      </c>
      <c r="Q219">
        <v>34917.06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tr">
        <v xml:space="preserve">CHRISTIANE </v>
      </c>
      <c r="B220" t="str">
        <v>ELETRICA     **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tr">
        <v xml:space="preserve">CHRISTIANE </v>
      </c>
      <c r="B221" t="str">
        <v>ELETRODOMESTICOS   **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tr">
        <v xml:space="preserve">CHRISTIANE </v>
      </c>
      <c r="B222" t="str">
        <v>ESQUADRIAS</v>
      </c>
      <c r="C222">
        <v>2699.58</v>
      </c>
      <c r="D222">
        <v>2373.9499999999998</v>
      </c>
      <c r="E222">
        <v>1132.3</v>
      </c>
      <c r="F222">
        <v>1450.35</v>
      </c>
      <c r="G222">
        <v>3830.02</v>
      </c>
      <c r="H222">
        <v>1467.57</v>
      </c>
      <c r="I222">
        <v>8355.23</v>
      </c>
      <c r="J222">
        <v>4275.84</v>
      </c>
      <c r="K222">
        <v>9872.9500000000007</v>
      </c>
      <c r="L222">
        <v>1425.95</v>
      </c>
      <c r="M222">
        <v>4159.3999999999996</v>
      </c>
      <c r="N222">
        <v>6310.24</v>
      </c>
      <c r="O222">
        <v>2431.15</v>
      </c>
      <c r="P222">
        <v>6632.2</v>
      </c>
      <c r="Q222">
        <v>4451.8999999999996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tr">
        <v xml:space="preserve">CHRISTIANE </v>
      </c>
      <c r="B223" t="str">
        <v>FERRAGENS</v>
      </c>
      <c r="C223">
        <v>2969.26</v>
      </c>
      <c r="D223">
        <v>3591.47</v>
      </c>
      <c r="E223">
        <v>5520.55</v>
      </c>
      <c r="F223">
        <v>4383.42</v>
      </c>
      <c r="G223">
        <v>3618.42</v>
      </c>
      <c r="H223">
        <v>3808.8</v>
      </c>
      <c r="I223">
        <v>6650.51</v>
      </c>
      <c r="J223">
        <v>5922.89</v>
      </c>
      <c r="K223">
        <v>7709.45</v>
      </c>
      <c r="L223">
        <v>5111.53</v>
      </c>
      <c r="M223">
        <v>3402.45</v>
      </c>
      <c r="N223">
        <v>4516.03</v>
      </c>
      <c r="O223">
        <v>2748.05</v>
      </c>
      <c r="P223">
        <v>4704.99</v>
      </c>
      <c r="Q223">
        <v>3912.19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tr">
        <v xml:space="preserve">CHRISTIANE </v>
      </c>
      <c r="B224" t="str">
        <v>FERRAMENTAS</v>
      </c>
      <c r="C224">
        <v>4033.5</v>
      </c>
      <c r="D224">
        <v>2613.69</v>
      </c>
      <c r="E224">
        <v>4780.74</v>
      </c>
      <c r="F224">
        <v>4893.66</v>
      </c>
      <c r="G224">
        <v>5386.79</v>
      </c>
      <c r="H224">
        <v>6792.02</v>
      </c>
      <c r="I224">
        <v>7472.96</v>
      </c>
      <c r="J224">
        <v>7521.47</v>
      </c>
      <c r="K224">
        <v>8248.68</v>
      </c>
      <c r="L224">
        <v>5207.1899999999996</v>
      </c>
      <c r="M224">
        <v>4510.57</v>
      </c>
      <c r="N224">
        <v>4806.1499999999996</v>
      </c>
      <c r="O224">
        <v>5884.89</v>
      </c>
      <c r="P224">
        <v>3870.6</v>
      </c>
      <c r="Q224">
        <v>8120.15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tr">
        <v xml:space="preserve">CHRISTIANE </v>
      </c>
      <c r="B225" t="str">
        <v>HIDRAULICAS</v>
      </c>
      <c r="C225">
        <v>6419.35</v>
      </c>
      <c r="D225">
        <v>8397.1299999999992</v>
      </c>
      <c r="E225">
        <v>9503.25</v>
      </c>
      <c r="F225">
        <v>12144.44</v>
      </c>
      <c r="G225">
        <v>11683.52</v>
      </c>
      <c r="H225">
        <v>7869.36</v>
      </c>
      <c r="I225">
        <v>24425.49</v>
      </c>
      <c r="J225">
        <v>13874.1</v>
      </c>
      <c r="K225">
        <v>27444.92</v>
      </c>
      <c r="L225">
        <v>8071.65</v>
      </c>
      <c r="M225">
        <v>8979.98</v>
      </c>
      <c r="N225">
        <v>9173.91</v>
      </c>
      <c r="O225">
        <v>5304.37</v>
      </c>
      <c r="P225">
        <v>11596.46</v>
      </c>
      <c r="Q225">
        <v>7683.51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tr">
        <v xml:space="preserve">CHRISTIANE </v>
      </c>
      <c r="B226" t="str">
        <v>ILUMINAÇÃO</v>
      </c>
      <c r="C226">
        <v>842.18</v>
      </c>
      <c r="D226">
        <v>379.15</v>
      </c>
      <c r="E226">
        <v>1073.3900000000001</v>
      </c>
      <c r="F226">
        <v>1081.3</v>
      </c>
      <c r="G226">
        <v>952.25</v>
      </c>
      <c r="H226">
        <v>836.9</v>
      </c>
      <c r="I226">
        <v>3997.57</v>
      </c>
      <c r="J226">
        <v>830.87</v>
      </c>
      <c r="K226">
        <v>701.95</v>
      </c>
      <c r="L226">
        <v>728.9</v>
      </c>
      <c r="M226">
        <v>497.09</v>
      </c>
      <c r="N226">
        <v>1519.16</v>
      </c>
      <c r="O226">
        <v>630.75</v>
      </c>
      <c r="P226">
        <v>398.36</v>
      </c>
      <c r="Q226">
        <v>1334.74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tr">
        <v xml:space="preserve">CHRISTIANE </v>
      </c>
      <c r="B227" t="str">
        <v>JARDINAGEM   *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tr">
        <v xml:space="preserve">CHRISTIANE </v>
      </c>
      <c r="B228" t="str">
        <v>LAZER</v>
      </c>
      <c r="C228">
        <v>1729.33</v>
      </c>
      <c r="D228">
        <v>4530.8599999999997</v>
      </c>
      <c r="E228">
        <v>1598.3</v>
      </c>
      <c r="F228">
        <v>2367.66</v>
      </c>
      <c r="G228">
        <v>2845.43</v>
      </c>
      <c r="H228">
        <v>4020.56</v>
      </c>
      <c r="I228">
        <v>1257.58</v>
      </c>
      <c r="J228">
        <v>3908.39</v>
      </c>
      <c r="K228">
        <v>3596.99</v>
      </c>
      <c r="L228">
        <v>6837.1</v>
      </c>
      <c r="M228">
        <v>778.15</v>
      </c>
      <c r="N228">
        <v>3987.02</v>
      </c>
      <c r="O228">
        <v>2586.27</v>
      </c>
      <c r="P228">
        <v>3172.3</v>
      </c>
      <c r="Q228">
        <v>1381.2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tr">
        <v xml:space="preserve">CHRISTIANE </v>
      </c>
      <c r="B229" t="str">
        <v>LOUÇAS</v>
      </c>
      <c r="C229">
        <v>1649.7</v>
      </c>
      <c r="D229">
        <v>2013.1</v>
      </c>
      <c r="E229">
        <v>941.4</v>
      </c>
      <c r="F229">
        <v>281.60000000000002</v>
      </c>
      <c r="G229">
        <v>3384.7</v>
      </c>
      <c r="H229">
        <v>252.6</v>
      </c>
      <c r="I229">
        <v>4355.3999999999996</v>
      </c>
      <c r="J229">
        <v>1805.2</v>
      </c>
      <c r="K229">
        <v>3079.94</v>
      </c>
      <c r="L229">
        <v>5707.6</v>
      </c>
      <c r="M229">
        <v>4145</v>
      </c>
      <c r="N229">
        <v>1284.2</v>
      </c>
      <c r="O229">
        <v>3384.9</v>
      </c>
      <c r="P229">
        <v>929.45</v>
      </c>
      <c r="Q229">
        <v>2492.86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tr">
        <v xml:space="preserve">CHRISTIANE </v>
      </c>
      <c r="B230" t="str">
        <v>MATERIAIS BÁSICOS</v>
      </c>
      <c r="C230">
        <v>34030.050000000003</v>
      </c>
      <c r="D230">
        <v>24847.68</v>
      </c>
      <c r="E230">
        <v>58813.22</v>
      </c>
      <c r="F230">
        <v>32591.93</v>
      </c>
      <c r="G230">
        <v>44830.86</v>
      </c>
      <c r="H230">
        <v>20342.23</v>
      </c>
      <c r="I230">
        <v>38073.89</v>
      </c>
      <c r="J230">
        <v>42401.87</v>
      </c>
      <c r="K230">
        <v>89059.63</v>
      </c>
      <c r="L230">
        <v>49374.77</v>
      </c>
      <c r="M230">
        <v>37530.370000000003</v>
      </c>
      <c r="N230">
        <v>21047.24</v>
      </c>
      <c r="O230">
        <v>18556.27</v>
      </c>
      <c r="P230">
        <v>32127.45</v>
      </c>
      <c r="Q230">
        <v>37277.550000000003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tr">
        <v xml:space="preserve">CHRISTIANE </v>
      </c>
      <c r="B231" t="str">
        <v>MATERIAIS ELETRICOS</v>
      </c>
      <c r="C231">
        <v>3027.92</v>
      </c>
      <c r="D231">
        <v>2531.16</v>
      </c>
      <c r="E231">
        <v>5458.83</v>
      </c>
      <c r="F231">
        <v>7104.44</v>
      </c>
      <c r="G231">
        <v>8023.78</v>
      </c>
      <c r="H231">
        <v>8281.77</v>
      </c>
      <c r="I231">
        <v>12442.24</v>
      </c>
      <c r="J231">
        <v>6561.64</v>
      </c>
      <c r="K231">
        <v>6305.31</v>
      </c>
      <c r="L231">
        <v>3306.33</v>
      </c>
      <c r="M231">
        <v>6228.71</v>
      </c>
      <c r="N231">
        <v>7766.24</v>
      </c>
      <c r="O231">
        <v>4790.9799999999996</v>
      </c>
      <c r="P231">
        <v>5550.91</v>
      </c>
      <c r="Q231">
        <v>8882.25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tr">
        <v xml:space="preserve">CHRISTIANE </v>
      </c>
      <c r="B232" t="str">
        <v>METAIS</v>
      </c>
      <c r="C232">
        <v>2752.34</v>
      </c>
      <c r="D232">
        <v>1572.7</v>
      </c>
      <c r="E232">
        <v>1269.72</v>
      </c>
      <c r="F232">
        <v>2088.85</v>
      </c>
      <c r="G232">
        <v>2507.84</v>
      </c>
      <c r="H232">
        <v>3237.45</v>
      </c>
      <c r="I232">
        <v>4220.8100000000004</v>
      </c>
      <c r="J232">
        <v>2350.4</v>
      </c>
      <c r="K232">
        <v>2941.02</v>
      </c>
      <c r="L232">
        <v>2597.7399999999998</v>
      </c>
      <c r="M232">
        <v>1822.56</v>
      </c>
      <c r="N232">
        <v>4496.01</v>
      </c>
      <c r="O232">
        <v>2022.35</v>
      </c>
      <c r="P232">
        <v>2377.84</v>
      </c>
      <c r="Q232">
        <v>1782.09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tr">
        <v xml:space="preserve">CHRISTIANE </v>
      </c>
      <c r="B233" t="str">
        <v>MOVEIS</v>
      </c>
      <c r="C233">
        <v>1872.4</v>
      </c>
      <c r="D233">
        <v>113.3</v>
      </c>
      <c r="E233">
        <v>681.7</v>
      </c>
      <c r="F233">
        <v>2770.85</v>
      </c>
      <c r="G233">
        <v>3322.81</v>
      </c>
      <c r="H233">
        <v>1964.21</v>
      </c>
      <c r="I233">
        <v>2151.5</v>
      </c>
      <c r="J233">
        <v>2585.6</v>
      </c>
      <c r="K233">
        <v>2225.65</v>
      </c>
      <c r="L233">
        <v>1172.7</v>
      </c>
      <c r="M233">
        <v>2987.19</v>
      </c>
      <c r="N233">
        <v>1730.45</v>
      </c>
      <c r="O233">
        <v>1507.74</v>
      </c>
      <c r="P233">
        <v>3520.64</v>
      </c>
      <c r="Q233">
        <v>4342.83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tr">
        <v xml:space="preserve">CHRISTIANE </v>
      </c>
      <c r="B234" t="str">
        <v>PINTURA</v>
      </c>
      <c r="C234">
        <v>2136.5100000000002</v>
      </c>
      <c r="D234">
        <v>1782.84</v>
      </c>
      <c r="E234">
        <v>4471.43</v>
      </c>
      <c r="F234">
        <v>5064.5</v>
      </c>
      <c r="G234">
        <v>4079.51</v>
      </c>
      <c r="H234">
        <v>3702.47</v>
      </c>
      <c r="I234">
        <v>3962.43</v>
      </c>
      <c r="J234">
        <v>4708.37</v>
      </c>
      <c r="K234">
        <v>6216.66</v>
      </c>
      <c r="L234">
        <v>4491.3</v>
      </c>
      <c r="M234">
        <v>2619.0300000000002</v>
      </c>
      <c r="N234">
        <v>6953.9</v>
      </c>
      <c r="O234">
        <v>2024.05</v>
      </c>
      <c r="P234">
        <v>3929.27</v>
      </c>
      <c r="Q234">
        <v>3780.23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tr">
        <v xml:space="preserve">CHRISTIANE </v>
      </c>
      <c r="B235" t="str">
        <v>PISOS E REVESTIMENTOS</v>
      </c>
      <c r="C235">
        <v>15926.07</v>
      </c>
      <c r="D235">
        <v>14437.89</v>
      </c>
      <c r="E235">
        <v>12856.57</v>
      </c>
      <c r="F235">
        <v>23730.23</v>
      </c>
      <c r="G235">
        <v>23011.14</v>
      </c>
      <c r="H235">
        <v>22809.040000000001</v>
      </c>
      <c r="I235">
        <v>28909.51</v>
      </c>
      <c r="J235">
        <v>14866.29</v>
      </c>
      <c r="K235">
        <v>44715.28</v>
      </c>
      <c r="L235">
        <v>44769.7</v>
      </c>
      <c r="M235">
        <v>48202.14</v>
      </c>
      <c r="N235">
        <v>32235.74</v>
      </c>
      <c r="O235">
        <v>10644.94</v>
      </c>
      <c r="P235">
        <v>9688.98</v>
      </c>
      <c r="Q235">
        <v>11364.53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tr">
        <v xml:space="preserve">CHRISTIANE </v>
      </c>
      <c r="B236" t="str">
        <v>PRATELEIRA  *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tr">
        <v xml:space="preserve">CHRISTIANE </v>
      </c>
      <c r="B237" t="str">
        <v>ULTILIDADES DOMESTICAS  *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7.9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tr">
        <v xml:space="preserve">CHRISTIANE </v>
      </c>
      <c r="B238" t="str">
        <v>zFERRAMENTAS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tr">
        <v xml:space="preserve">CHRISTIANE </v>
      </c>
      <c r="B239" t="str">
        <v>zMATERIAIS BASICOS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tr">
        <v xml:space="preserve">CHRISTIANE </v>
      </c>
      <c r="B240" t="str">
        <v>zPARAFUSOS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tr">
        <v>ANDERSON</v>
      </c>
      <c r="B243" t="str">
        <v>ACABAMENTO  **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tr">
        <v>ANDERSON</v>
      </c>
      <c r="B244" t="str">
        <v>COBERTURA</v>
      </c>
      <c r="C244">
        <v>16408.2</v>
      </c>
      <c r="D244">
        <v>5799.32</v>
      </c>
      <c r="E244">
        <v>1881.3</v>
      </c>
      <c r="F244">
        <v>623.28</v>
      </c>
      <c r="G244">
        <v>0</v>
      </c>
      <c r="H244">
        <v>0</v>
      </c>
      <c r="I244">
        <v>0</v>
      </c>
      <c r="J244">
        <v>12.91</v>
      </c>
      <c r="K244">
        <v>777.36</v>
      </c>
      <c r="L244">
        <v>10313.57</v>
      </c>
      <c r="M244">
        <v>1780.32</v>
      </c>
      <c r="N244">
        <v>6962.87</v>
      </c>
      <c r="O244">
        <v>3516.16</v>
      </c>
      <c r="P244">
        <v>4398.3599999999997</v>
      </c>
      <c r="Q244">
        <v>5300.64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tr">
        <v>ANDERSON</v>
      </c>
      <c r="B245" t="str">
        <v>ELETRICA     **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tr">
        <v>ANDERSON</v>
      </c>
      <c r="B246" t="str">
        <v>ELETRODOMESTICOS   **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tr">
        <v>ANDERSON</v>
      </c>
      <c r="B247" t="str">
        <v>ESQUADRIAS</v>
      </c>
      <c r="C247">
        <v>5686.85</v>
      </c>
      <c r="D247">
        <v>4705.68</v>
      </c>
      <c r="E247">
        <v>3475.6</v>
      </c>
      <c r="F247">
        <v>171.57</v>
      </c>
      <c r="G247">
        <v>0</v>
      </c>
      <c r="H247">
        <v>7.81</v>
      </c>
      <c r="I247">
        <v>0</v>
      </c>
      <c r="J247">
        <v>155</v>
      </c>
      <c r="K247">
        <v>195.9</v>
      </c>
      <c r="L247">
        <v>1483.2</v>
      </c>
      <c r="M247">
        <v>11125.2</v>
      </c>
      <c r="N247">
        <v>2013</v>
      </c>
      <c r="O247">
        <v>1706.35</v>
      </c>
      <c r="P247">
        <v>4088.06</v>
      </c>
      <c r="Q247">
        <v>95.65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tr">
        <v>ANDERSON</v>
      </c>
      <c r="B248" t="str">
        <v>FERRAGENS</v>
      </c>
      <c r="C248">
        <v>4723.3999999999996</v>
      </c>
      <c r="D248">
        <v>4835.41</v>
      </c>
      <c r="E248">
        <v>5049.93</v>
      </c>
      <c r="F248">
        <v>482.84</v>
      </c>
      <c r="G248">
        <v>41.32</v>
      </c>
      <c r="H248">
        <v>257.55</v>
      </c>
      <c r="I248">
        <v>13.9</v>
      </c>
      <c r="J248">
        <v>38.44</v>
      </c>
      <c r="K248">
        <v>940.82</v>
      </c>
      <c r="L248">
        <v>3266.82</v>
      </c>
      <c r="M248">
        <v>3535.14</v>
      </c>
      <c r="N248">
        <v>4872.92</v>
      </c>
      <c r="O248">
        <v>4351.96</v>
      </c>
      <c r="P248">
        <v>3164.56</v>
      </c>
      <c r="Q248">
        <v>1639.56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tr">
        <v>ANDERSON</v>
      </c>
      <c r="B249" t="str">
        <v>FERRAMENTAS</v>
      </c>
      <c r="C249">
        <v>5314.27</v>
      </c>
      <c r="D249">
        <v>6009.72</v>
      </c>
      <c r="E249">
        <v>5829.16</v>
      </c>
      <c r="F249">
        <v>1147.76</v>
      </c>
      <c r="G249">
        <v>18.16</v>
      </c>
      <c r="H249">
        <v>248.5</v>
      </c>
      <c r="I249">
        <v>0.61</v>
      </c>
      <c r="J249">
        <v>121.53</v>
      </c>
      <c r="K249">
        <v>1479.02</v>
      </c>
      <c r="L249">
        <v>7429.29</v>
      </c>
      <c r="M249">
        <v>5589.01</v>
      </c>
      <c r="N249">
        <v>5411.99</v>
      </c>
      <c r="O249">
        <v>6772.9</v>
      </c>
      <c r="P249">
        <v>10864.67</v>
      </c>
      <c r="Q249">
        <v>1693.68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tr">
        <v>ANDERSON</v>
      </c>
      <c r="B250" t="str">
        <v>HIDRAULICAS</v>
      </c>
      <c r="C250">
        <v>16460</v>
      </c>
      <c r="D250">
        <v>13024.31</v>
      </c>
      <c r="E250">
        <v>9977.41</v>
      </c>
      <c r="F250">
        <v>1369.76</v>
      </c>
      <c r="G250">
        <v>11.6</v>
      </c>
      <c r="H250">
        <v>136</v>
      </c>
      <c r="I250">
        <v>20.9</v>
      </c>
      <c r="J250">
        <v>17</v>
      </c>
      <c r="K250">
        <v>1635.24</v>
      </c>
      <c r="L250">
        <v>8470.24</v>
      </c>
      <c r="M250">
        <v>6835.13</v>
      </c>
      <c r="N250">
        <v>10297.48</v>
      </c>
      <c r="O250">
        <v>10251.93</v>
      </c>
      <c r="P250">
        <v>10356.299999999999</v>
      </c>
      <c r="Q250">
        <v>2136.92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tr">
        <v>ANDERSON</v>
      </c>
      <c r="B251" t="str">
        <v>ILUMINAÇÃO</v>
      </c>
      <c r="C251">
        <v>646.01</v>
      </c>
      <c r="D251">
        <v>918.74</v>
      </c>
      <c r="E251">
        <v>536.19000000000005</v>
      </c>
      <c r="F251">
        <v>57.48</v>
      </c>
      <c r="G251">
        <v>139</v>
      </c>
      <c r="H251">
        <v>0</v>
      </c>
      <c r="I251">
        <v>11.85</v>
      </c>
      <c r="J251">
        <v>0</v>
      </c>
      <c r="K251">
        <v>59.3</v>
      </c>
      <c r="L251">
        <v>166.5</v>
      </c>
      <c r="M251">
        <v>261.89999999999998</v>
      </c>
      <c r="N251">
        <v>640.24</v>
      </c>
      <c r="O251">
        <v>1478.26</v>
      </c>
      <c r="P251">
        <v>698.55</v>
      </c>
      <c r="Q251">
        <v>210.15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tr">
        <v>ANDERSON</v>
      </c>
      <c r="B252" t="str">
        <v>JARDINAGEM   *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tr">
        <v>ANDERSON</v>
      </c>
      <c r="B253" t="str">
        <v>LAZER</v>
      </c>
      <c r="C253">
        <v>940.96</v>
      </c>
      <c r="D253">
        <v>596.36</v>
      </c>
      <c r="E253">
        <v>1951.11</v>
      </c>
      <c r="F253">
        <v>82.8</v>
      </c>
      <c r="G253">
        <v>0</v>
      </c>
      <c r="H253">
        <v>29.9</v>
      </c>
      <c r="I253">
        <v>0</v>
      </c>
      <c r="J253">
        <v>107.7</v>
      </c>
      <c r="K253">
        <v>2974.85</v>
      </c>
      <c r="L253">
        <v>1506.4</v>
      </c>
      <c r="M253">
        <v>2917.65</v>
      </c>
      <c r="N253">
        <v>4301.54</v>
      </c>
      <c r="O253">
        <v>3188.47</v>
      </c>
      <c r="P253">
        <v>1435.9</v>
      </c>
      <c r="Q253">
        <v>205.25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tr">
        <v>ANDERSON</v>
      </c>
      <c r="B254" t="str">
        <v>LOUÇAS</v>
      </c>
      <c r="C254">
        <v>105.3</v>
      </c>
      <c r="D254">
        <v>2938.13</v>
      </c>
      <c r="E254">
        <v>541.70000000000005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1737.4</v>
      </c>
      <c r="M254">
        <v>1446.1</v>
      </c>
      <c r="N254">
        <v>1061.4000000000001</v>
      </c>
      <c r="O254">
        <v>2460.85</v>
      </c>
      <c r="P254">
        <v>598.35</v>
      </c>
      <c r="Q254">
        <v>125.9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tr">
        <v>ANDERSON</v>
      </c>
      <c r="B255" t="str">
        <v>MATERIAIS BÁSICOS</v>
      </c>
      <c r="C255">
        <v>49889.23</v>
      </c>
      <c r="D255">
        <v>39085.89</v>
      </c>
      <c r="E255">
        <v>36423.17</v>
      </c>
      <c r="F255">
        <v>9378.44</v>
      </c>
      <c r="G255">
        <v>23.9</v>
      </c>
      <c r="H255">
        <v>23.6</v>
      </c>
      <c r="I255">
        <v>0</v>
      </c>
      <c r="J255">
        <v>0</v>
      </c>
      <c r="K255">
        <v>4666.58</v>
      </c>
      <c r="L255">
        <v>25709.22</v>
      </c>
      <c r="M255">
        <v>28290.71</v>
      </c>
      <c r="N255">
        <v>31274.94</v>
      </c>
      <c r="O255">
        <v>29857.48</v>
      </c>
      <c r="P255">
        <v>25275.11</v>
      </c>
      <c r="Q255">
        <v>15308.58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tr">
        <v>ANDERSON</v>
      </c>
      <c r="B256" t="str">
        <v>MATERIAIS ELETRICOS</v>
      </c>
      <c r="C256">
        <v>3210.18</v>
      </c>
      <c r="D256">
        <v>7358.72</v>
      </c>
      <c r="E256">
        <v>13198</v>
      </c>
      <c r="F256">
        <v>345.55</v>
      </c>
      <c r="G256">
        <v>122.41</v>
      </c>
      <c r="H256">
        <v>-5.31</v>
      </c>
      <c r="I256">
        <v>369.7</v>
      </c>
      <c r="J256">
        <v>10.8</v>
      </c>
      <c r="K256">
        <v>807.8</v>
      </c>
      <c r="L256">
        <v>4357.59</v>
      </c>
      <c r="M256">
        <v>3571.12</v>
      </c>
      <c r="N256">
        <v>6814.92</v>
      </c>
      <c r="O256">
        <v>6679.21</v>
      </c>
      <c r="P256">
        <v>5383.38</v>
      </c>
      <c r="Q256">
        <v>3839.83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tr">
        <v>ANDERSON</v>
      </c>
      <c r="B257" t="str">
        <v>METAIS</v>
      </c>
      <c r="C257">
        <v>2108.2199999999998</v>
      </c>
      <c r="D257">
        <v>1462.61</v>
      </c>
      <c r="E257">
        <v>1717.77</v>
      </c>
      <c r="F257">
        <v>353.3</v>
      </c>
      <c r="G257">
        <v>19</v>
      </c>
      <c r="H257">
        <v>13.9</v>
      </c>
      <c r="I257">
        <v>0</v>
      </c>
      <c r="J257">
        <v>55.9</v>
      </c>
      <c r="K257">
        <v>443.2</v>
      </c>
      <c r="L257">
        <v>1664.85</v>
      </c>
      <c r="M257">
        <v>936.25</v>
      </c>
      <c r="N257">
        <v>2126.4499999999998</v>
      </c>
      <c r="O257">
        <v>3019.73</v>
      </c>
      <c r="P257">
        <v>1675.86</v>
      </c>
      <c r="Q257">
        <v>343.2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tr">
        <v>ANDERSON</v>
      </c>
      <c r="B258" t="str">
        <v>MOVEIS</v>
      </c>
      <c r="C258">
        <v>5607.94</v>
      </c>
      <c r="D258">
        <v>1866.68</v>
      </c>
      <c r="E258">
        <v>613.75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769.7</v>
      </c>
      <c r="M258">
        <v>3441.2</v>
      </c>
      <c r="N258">
        <v>729.7</v>
      </c>
      <c r="O258">
        <v>291.7</v>
      </c>
      <c r="P258">
        <v>1479.4</v>
      </c>
      <c r="Q258">
        <v>869.9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tr">
        <v>ANDERSON</v>
      </c>
      <c r="B259" t="str">
        <v>PINTURA</v>
      </c>
      <c r="C259">
        <v>3703.76</v>
      </c>
      <c r="D259">
        <v>3807.46</v>
      </c>
      <c r="E259">
        <v>4963.76</v>
      </c>
      <c r="F259">
        <v>734.35</v>
      </c>
      <c r="G259">
        <v>81.5</v>
      </c>
      <c r="H259">
        <v>109.3</v>
      </c>
      <c r="I259">
        <v>0</v>
      </c>
      <c r="J259">
        <v>101.85</v>
      </c>
      <c r="K259">
        <v>330.3</v>
      </c>
      <c r="L259">
        <v>2214.4699999999998</v>
      </c>
      <c r="M259">
        <v>3598.4</v>
      </c>
      <c r="N259">
        <v>5082.26</v>
      </c>
      <c r="O259">
        <v>4746.4399999999996</v>
      </c>
      <c r="P259">
        <v>4228.5600000000004</v>
      </c>
      <c r="Q259">
        <v>1426.85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tr">
        <v>ANDERSON</v>
      </c>
      <c r="B260" t="str">
        <v>PISOS E REVESTIMENTOS</v>
      </c>
      <c r="C260">
        <v>12208.95</v>
      </c>
      <c r="D260">
        <v>14015.54</v>
      </c>
      <c r="E260">
        <v>12374.92</v>
      </c>
      <c r="F260">
        <v>-1553.43</v>
      </c>
      <c r="G260">
        <v>24.8</v>
      </c>
      <c r="H260">
        <v>0</v>
      </c>
      <c r="I260">
        <v>9.9</v>
      </c>
      <c r="J260">
        <v>26.75</v>
      </c>
      <c r="K260">
        <v>5779.82</v>
      </c>
      <c r="L260">
        <v>9657.51</v>
      </c>
      <c r="M260">
        <v>11201.57</v>
      </c>
      <c r="N260">
        <v>19390.55</v>
      </c>
      <c r="O260">
        <v>18146.46</v>
      </c>
      <c r="P260">
        <v>22534.81</v>
      </c>
      <c r="Q260">
        <v>3255.6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tr">
        <v>ANDERSON</v>
      </c>
      <c r="B261" t="str">
        <v>PRATELEIRA  *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tr">
        <v>ANDERSON</v>
      </c>
      <c r="B262" t="str">
        <v>ULTILIDADES DOMESTICAS  *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tr">
        <v>ANDERSON</v>
      </c>
      <c r="B263" t="str">
        <v>zFERRAMENTAS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tr">
        <v>ANDERSON</v>
      </c>
      <c r="B264" t="str">
        <v>zMATERIAIS BASICOS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tr">
        <v>ANDERSON</v>
      </c>
      <c r="B265" t="str">
        <v>zPARAFUSOS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tr">
        <v xml:space="preserve">VENDEDOR </v>
      </c>
      <c r="B269" t="str">
        <v>ACABAMENTO  **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tr">
        <v xml:space="preserve">VENDEDOR </v>
      </c>
      <c r="B270" t="str">
        <v>COBERTURA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tr">
        <v xml:space="preserve">VENDEDOR </v>
      </c>
      <c r="B271" t="str">
        <v>ELETRICA     **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tr">
        <v xml:space="preserve">VENDEDOR </v>
      </c>
      <c r="B272" t="str">
        <v>ELETRODOMESTICOS   **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tr">
        <v xml:space="preserve">VENDEDOR </v>
      </c>
      <c r="B273" t="str">
        <v>ESQUADRIAS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tr">
        <v xml:space="preserve">VENDEDOR </v>
      </c>
      <c r="B274" t="str">
        <v>FERRAGENS</v>
      </c>
      <c r="C274">
        <v>0</v>
      </c>
      <c r="D274">
        <v>0</v>
      </c>
      <c r="E274">
        <v>0.01</v>
      </c>
      <c r="F274">
        <v>0</v>
      </c>
      <c r="G274">
        <v>0.01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tr">
        <v xml:space="preserve">VENDEDOR </v>
      </c>
      <c r="B275" t="str">
        <v>FERRAMENTAS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tr">
        <v xml:space="preserve">VENDEDOR </v>
      </c>
      <c r="B276" t="str">
        <v>HIDRAULICAS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tr">
        <v xml:space="preserve">VENDEDOR </v>
      </c>
      <c r="B277" t="str">
        <v>ILUMINAÇÃO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tr">
        <v xml:space="preserve">VENDEDOR </v>
      </c>
      <c r="B278" t="str">
        <v>JARDINAGEM   *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tr">
        <v xml:space="preserve">VENDEDOR </v>
      </c>
      <c r="B279" t="str">
        <v>LAZER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tr">
        <v xml:space="preserve">VENDEDOR </v>
      </c>
      <c r="B280" t="str">
        <v>LOUÇAS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tr">
        <v xml:space="preserve">VENDEDOR </v>
      </c>
      <c r="B281" t="str">
        <v>MATERIAIS BÁSICOS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tr">
        <v xml:space="preserve">VENDEDOR </v>
      </c>
      <c r="B282" t="str">
        <v>MATERIAIS ELETRICOS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tr">
        <v xml:space="preserve">VENDEDOR </v>
      </c>
      <c r="B283" t="str">
        <v>METAIS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tr">
        <v xml:space="preserve">VENDEDOR </v>
      </c>
      <c r="B284" t="str">
        <v>MOVEIS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3.7</v>
      </c>
      <c r="P284">
        <v>0</v>
      </c>
      <c r="Q284">
        <v>78.8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tr">
        <v xml:space="preserve">VENDEDOR </v>
      </c>
      <c r="B285" t="str">
        <v>PINTURA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tr">
        <v xml:space="preserve">VENDEDOR </v>
      </c>
      <c r="B286" t="str">
        <v>PISOS E REVESTIMENTOS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tr">
        <v xml:space="preserve">VENDEDOR </v>
      </c>
      <c r="B287" t="str">
        <v>PRATELEIRA  *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tr">
        <v xml:space="preserve">VENDEDOR </v>
      </c>
      <c r="B288" t="str">
        <v>ULTILIDADES DOMESTICAS  *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40" x14ac:dyDescent="0.25">
      <c r="A289" t="str">
        <v xml:space="preserve">VENDEDOR </v>
      </c>
      <c r="B289" t="str">
        <v>zFERRAMENTAS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40" x14ac:dyDescent="0.25">
      <c r="A290" t="str">
        <v xml:space="preserve">VENDEDOR </v>
      </c>
      <c r="B290" t="str">
        <v>zMATERIAIS BASICOS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40" x14ac:dyDescent="0.25">
      <c r="A291" t="str">
        <v xml:space="preserve">VENDEDOR </v>
      </c>
      <c r="B291" t="str">
        <v>zPARAFUSOS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4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9" spans="1:40" x14ac:dyDescent="0.25">
      <c r="B299" t="s">
        <v>13</v>
      </c>
      <c r="C299">
        <f t="shared" ref="C299:AN299" si="0">SUM(C17:C292)</f>
        <v>642279.78</v>
      </c>
      <c r="D299">
        <f t="shared" si="0"/>
        <v>619860.11</v>
      </c>
      <c r="E299">
        <f t="shared" si="0"/>
        <v>618508.72</v>
      </c>
      <c r="F299">
        <f t="shared" si="0"/>
        <v>667531.78999999992</v>
      </c>
      <c r="G299">
        <f t="shared" si="0"/>
        <v>686623.00000000023</v>
      </c>
      <c r="H299">
        <f t="shared" si="0"/>
        <v>536152.02000000025</v>
      </c>
      <c r="I299">
        <f t="shared" si="0"/>
        <v>691743.53</v>
      </c>
      <c r="J299">
        <f t="shared" si="0"/>
        <v>573251.49</v>
      </c>
      <c r="K299">
        <f t="shared" si="0"/>
        <v>648519.03000000014</v>
      </c>
      <c r="L299">
        <f t="shared" si="0"/>
        <v>663917.68999999971</v>
      </c>
      <c r="M299">
        <f t="shared" si="0"/>
        <v>594261.41</v>
      </c>
      <c r="N299">
        <f t="shared" si="0"/>
        <v>545469.44999999995</v>
      </c>
      <c r="O299">
        <f t="shared" si="0"/>
        <v>505083.35</v>
      </c>
      <c r="P299">
        <f t="shared" si="0"/>
        <v>468457.1</v>
      </c>
      <c r="Q299">
        <f t="shared" si="0"/>
        <v>480628.10000000015</v>
      </c>
      <c r="R299">
        <f t="shared" si="0"/>
        <v>0</v>
      </c>
      <c r="S299">
        <f t="shared" si="0"/>
        <v>0</v>
      </c>
      <c r="T299">
        <f t="shared" si="0"/>
        <v>0</v>
      </c>
      <c r="U299">
        <f t="shared" si="0"/>
        <v>0</v>
      </c>
      <c r="V299">
        <f t="shared" si="0"/>
        <v>0</v>
      </c>
      <c r="W299">
        <f t="shared" si="0"/>
        <v>0</v>
      </c>
      <c r="X299">
        <f t="shared" si="0"/>
        <v>0</v>
      </c>
      <c r="Y299">
        <f t="shared" si="0"/>
        <v>0</v>
      </c>
      <c r="Z299">
        <f t="shared" si="0"/>
        <v>0</v>
      </c>
      <c r="AA299">
        <f t="shared" si="0"/>
        <v>0</v>
      </c>
      <c r="AB299">
        <f t="shared" si="0"/>
        <v>0</v>
      </c>
      <c r="AC299">
        <f t="shared" si="0"/>
        <v>0</v>
      </c>
      <c r="AD299">
        <f t="shared" si="0"/>
        <v>0</v>
      </c>
      <c r="AE299">
        <f t="shared" si="0"/>
        <v>0</v>
      </c>
      <c r="AF299">
        <f t="shared" si="0"/>
        <v>0</v>
      </c>
      <c r="AG299">
        <f t="shared" si="0"/>
        <v>0</v>
      </c>
      <c r="AH299">
        <f t="shared" si="0"/>
        <v>0</v>
      </c>
      <c r="AI299">
        <f t="shared" si="0"/>
        <v>0</v>
      </c>
      <c r="AJ299">
        <f t="shared" si="0"/>
        <v>0</v>
      </c>
      <c r="AK299">
        <f t="shared" si="0"/>
        <v>0</v>
      </c>
      <c r="AL299">
        <f t="shared" si="0"/>
        <v>0</v>
      </c>
      <c r="AM299">
        <f t="shared" si="0"/>
        <v>0</v>
      </c>
      <c r="AN299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9BCB-13D3-41FE-B11E-5074218B7D3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2EF-487F-4E83-B24D-A2F35162D34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FEE1-E1FD-48F6-A2B7-EC3C6D1397F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</cp:lastModifiedBy>
  <dcterms:created xsi:type="dcterms:W3CDTF">2026-02-24T14:59:09Z</dcterms:created>
  <dcterms:modified xsi:type="dcterms:W3CDTF">2026-03-26T20:31:15Z</dcterms:modified>
</cp:coreProperties>
</file>